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ed86f086b444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асчёты" sheetId="1" r:id="Re8d672c671ad453d"/>
    <x:sheet xmlns:r="http://schemas.openxmlformats.org/officeDocument/2006/relationships" name="Исходные данные" sheetId="2" r:id="R85557425c3fd49ae"/>
    <x:sheet xmlns:r="http://schemas.openxmlformats.org/officeDocument/2006/relationships" name="Открытые вопросы" sheetId="3" r:id="Rcbf05b5d09d448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sz val="11"/>
      <x:color rgb="FF202A33"/>
      <x:name val="Arial"/>
    </x:font>
    <x:font>
      <x:b/>
      <x:sz val="15"/>
      <x:color rgb="FF000000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C52"/>
      </x:patternFill>
    </x:fill>
    <x:fill>
      <x:patternFill patternType="solid">
        <x:fgColor rgb="FFFFF0C2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2">
    <x:dxf>
      <x:font>
        <x:b/>
        <x:color rgb="FFA02020"/>
      </x:font>
      <x:fill>
        <x:patternFill patternType="solid">
          <x:bgColor rgb="FFFDE7E7"/>
        </x:patternFill>
      </x:fill>
    </x:dxf>
    <x:dxf>
      <x:font>
        <x:color rgb="FF8A5B00"/>
      </x:font>
      <x:fill>
        <x:patternFill patternType="solid"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70ebc318ff4daa" /><Relationship Type="http://schemas.openxmlformats.org/officeDocument/2006/relationships/theme" Target="/xl/theme/theme1.xml" Id="R1c3a0f3b46f94eed" /><Relationship Type="http://schemas.openxmlformats.org/officeDocument/2006/relationships/sharedStrings" Target="/xl/sharedStrings.xml" Id="Rf1a60f66e9c14ed8" /><Relationship Type="http://schemas.openxmlformats.org/officeDocument/2006/relationships/worksheet" Target="/xl/worksheets/sheet1.xml" Id="Re8d672c671ad453d" /><Relationship Type="http://schemas.openxmlformats.org/officeDocument/2006/relationships/worksheet" Target="/xl/worksheets/sheet2.xml" Id="R85557425c3fd49ae" /><Relationship Type="http://schemas.openxmlformats.org/officeDocument/2006/relationships/worksheet" Target="/xl/worksheets/sheet3.xml" Id="Rcbf05b5d09d448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24" hidden="0" customWidth="1"/>
    <x:col min="3" max="3" width="15" hidden="0" customWidth="1"/>
    <x:col min="4" max="4" width="39" hidden="0" customWidth="1"/>
    <x:col min="5" max="5" width="66" hidden="0" customWidth="1"/>
  </x:cols>
  <x:sheetData>
    <x:row r="1" ht="26" customHeight="1">
      <x:c r="A1" s="2"/>
      <x:c r="B1" s="2"/>
      <x:c r="C1" s="2"/>
      <x:c r="D1" s="2"/>
      <x:c r="E1" s="2"/>
    </x:row>
    <x:row r="2" ht="26" customHeight="1">
      <x:c r="A2" s="3" t="str">
        <x:v>Расчётный паспорт ЛТ500 R00</x:v>
      </x:c>
      <x:c r="B2" s="2"/>
      <x:c r="C2" s="2"/>
      <x:c r="D2" s="2"/>
      <x:c r="E2" s="2"/>
    </x:row>
    <x:row r="3" ht="30" customHeight="1">
      <x:c r="A3" s="2" t="str">
        <x:v>Предварительный расчёт. Размеры силовых деталей и мощность не назначены.</x:v>
      </x:c>
      <x:c r="B3" s="2"/>
      <x:c r="C3" s="2"/>
      <x:c r="D3" s="2"/>
      <x:c r="E3" s="2"/>
    </x:row>
    <x:row r="4" ht="26" customHeight="1">
      <x:c r="A4" s="2"/>
      <x:c r="B4" s="2"/>
      <x:c r="C4" s="2"/>
      <x:c r="D4" s="2"/>
      <x:c r="E4" s="2"/>
    </x:row>
    <x:row r="5" ht="30" customHeight="1">
      <x:c r="A5" s="5" t="str">
        <x:v>Расчёт</x:v>
      </x:c>
      <x:c r="B5" s="5" t="str">
        <x:v>Результат</x:v>
      </x:c>
      <x:c r="C5" s="5" t="str">
        <x:v>Единица</x:v>
      </x:c>
      <x:c r="D5" s="5" t="str">
        <x:v>Зависимость</x:v>
      </x:c>
      <x:c r="E5" s="5" t="str">
        <x:v>Применимость</x:v>
      </x:c>
    </x:row>
    <x:row r="6" ht="50" customHeight="1">
      <x:c r="A6" s="6" t="str">
        <x:v>Габаритная длина в метрах</x:v>
      </x:c>
      <x:c r="B6" s="16" t="n">
        <x:f>'Исходные данные'!C5/1000</x:f>
        <x:v>10</x:v>
      </x:c>
      <x:c r="C6" s="12" t="str">
        <x:v>м</x:v>
      </x:c>
      <x:c r="D6" s="6" t="str">
        <x:v>Lгаб / 1000</x:v>
      </x:c>
      <x:c r="E6" s="6" t="str">
        <x:v>Габарит изделия; не длина загруженной ветви</x:v>
      </x:c>
    </x:row>
    <x:row r="7" ht="50" customHeight="1">
      <x:c r="A7" s="6" t="str">
        <x:v>Погонный вес материала</x:v>
      </x:c>
      <x:c r="B7" s="16" t="n">
        <x:f>'Исходные данные'!C10*'Исходные данные'!C11</x:f>
        <x:v>294.1995</x:v>
      </x:c>
      <x:c r="C7" s="12" t="str">
        <x:v>Н/м</x:v>
      </x:c>
      <x:c r="D7" s="6" t="str">
        <x:v>q × g</x:v>
      </x:c>
      <x:c r="E7" s="6" t="str">
        <x:v>Материал без собственной массы оборудования</x:v>
      </x:c>
    </x:row>
    <x:row r="8" ht="50" customHeight="1">
      <x:c r="A8" s="6" t="str">
        <x:v>Масса для условных 10 м</x:v>
      </x:c>
      <x:c r="B8" s="16" t="n">
        <x:f>'Исходные данные'!C10*B6</x:f>
        <x:v>300</x:v>
      </x:c>
      <x:c r="C8" s="12" t="str">
        <x:v>кг</x:v>
      </x:c>
      <x:c r="D8" s="6" t="str">
        <x:v>q × Lгаб</x:v>
      </x:c>
      <x:c r="E8" s="6" t="str">
        <x:v>Ориентир; фактическую массу считать по Lраб</x:v>
      </x:c>
    </x:row>
    <x:row r="9" ht="50" customHeight="1">
      <x:c r="A9" s="6" t="str">
        <x:v>Вес для условных 10 м</x:v>
      </x:c>
      <x:c r="B9" s="16" t="n">
        <x:f>B8*'Исходные данные'!C11</x:f>
        <x:v>2941.995</x:v>
      </x:c>
      <x:c r="C9" s="12" t="str">
        <x:v>Н</x:v>
      </x:c>
      <x:c r="D9" s="6" t="str">
        <x:v>m × g</x:v>
      </x:c>
      <x:c r="E9" s="6" t="str">
        <x:v>Не полный расчёт нагрузки на раму</x:v>
      </x:c>
    </x:row>
    <x:row r="10" ht="50" customHeight="1">
      <x:c r="A10" s="6" t="str">
        <x:v>Перепад 1° на линии 10 м</x:v>
      </x:c>
      <x:c r="B10" s="16" t="n">
        <x:f>'Исходные данные'!C5*SIN(RADIANS('Исходные данные'!C8))</x:f>
        <x:v>174.5240643728351</x:v>
      </x:c>
      <x:c r="C10" s="12" t="str">
        <x:v>мм</x:v>
      </x:c>
      <x:c r="D10" s="6" t="str">
        <x:v>Lгаб × sin(θmin)</x:v>
      </x:c>
      <x:c r="E10" s="6" t="str">
        <x:v>Если Lгаб трактовать как длину наклонной линии</x:v>
      </x:c>
    </x:row>
    <x:row r="11" ht="50" customHeight="1">
      <x:c r="A11" s="6" t="str">
        <x:v>Перепад 2° на линии 10 м</x:v>
      </x:c>
      <x:c r="B11" s="16" t="n">
        <x:f>'Исходные данные'!C5*SIN(RADIANS('Исходные данные'!C9))</x:f>
        <x:v>348.9949670250097</x:v>
      </x:c>
      <x:c r="C11" s="12" t="str">
        <x:v>мм</x:v>
      </x:c>
      <x:c r="D11" s="6" t="str">
        <x:v>Lгаб × sin(θmax)</x:v>
      </x:c>
      <x:c r="E11" s="6" t="str">
        <x:v>Уточнить реальную длину между выбранными точками</x:v>
      </x:c>
    </x:row>
    <x:row r="12" ht="50" customHeight="1">
      <x:c r="A12" s="6" t="str">
        <x:v>Перепад 1° на проекции 10 м</x:v>
      </x:c>
      <x:c r="B12" s="16" t="n">
        <x:f>'Исходные данные'!C5*TAN(RADIANS('Исходные данные'!C8))</x:f>
        <x:v>174.55064928217587</x:v>
      </x:c>
      <x:c r="C12" s="12" t="str">
        <x:v>мм</x:v>
      </x:c>
      <x:c r="D12" s="6" t="str">
        <x:v>Lгаб × tan(θmin)</x:v>
      </x:c>
      <x:c r="E12" s="6" t="str">
        <x:v>Если Lгаб трактовать как горизонтальную проекцию</x:v>
      </x:c>
    </x:row>
    <x:row r="13" ht="50" customHeight="1">
      <x:c r="A13" s="6" t="str">
        <x:v>Перепад 2° на проекции 10 м</x:v>
      </x:c>
      <x:c r="B13" s="16" t="n">
        <x:f>'Исходные данные'!C5*TAN(RADIANS('Исходные данные'!C9))</x:f>
        <x:v>349.2076949174773</x:v>
      </x:c>
      <x:c r="C13" s="12" t="str">
        <x:v>мм</x:v>
      </x:c>
      <x:c r="D13" s="6" t="str">
        <x:v>Lгаб × tan(θmax)</x:v>
      </x:c>
      <x:c r="E13" s="6" t="str">
        <x:v>Это альтернативное толкование габарита, не выбранная геометрия</x:v>
      </x:c>
    </x:row>
    <x:row r="14" ht="50" customHeight="1">
      <x:c r="A14" s="6" t="str">
        <x:v>Сила вниз для условных 10 м при 1°</x:v>
      </x:c>
      <x:c r="B14" s="16" t="n">
        <x:f>B9*SIN(RADIANS('Исходные данные'!C8))</x:f>
        <x:v>51.344892476455904</x:v>
      </x:c>
      <x:c r="C14" s="12" t="str">
        <x:v>Н</x:v>
      </x:c>
      <x:c r="D14" s="6" t="str">
        <x:v>q × Lгаб × g × sin(θmin)</x:v>
      </x:c>
      <x:c r="E14" s="6" t="str">
        <x:v>Помогает движению вниз; прочие сопротивления не заданы</x:v>
      </x:c>
    </x:row>
    <x:row r="15" ht="50" customHeight="1">
      <x:c r="A15" s="6" t="str">
        <x:v>Сила вниз для условных 10 м при 2°</x:v>
      </x:c>
      <x:c r="B15" s="16" t="n">
        <x:f>B9*SIN(RADIANS('Исходные данные'!C9))</x:f>
        <x:v>102.67414480127434</x:v>
      </x:c>
      <x:c r="C15" s="12" t="str">
        <x:v>Н</x:v>
      </x:c>
      <x:c r="D15" s="6" t="str">
        <x:v>q × Lгаб × g × sin(θmax)</x:v>
      </x:c>
      <x:c r="E15" s="6" t="str">
        <x:v>Мощность из этой силы отдельно не выбирается</x:v>
      </x:c>
    </x:row>
    <x:row r="16" ht="50" customHeight="1">
      <x:c r="A16" s="6" t="str">
        <x:v>Коэффициент расхода по массе</x:v>
      </x:c>
      <x:c r="B16" s="16" t="n">
        <x:f>3.6*'Исходные данные'!C10</x:f>
        <x:v>108</x:v>
      </x:c>
      <x:c r="C16" s="12" t="str">
        <x:v>т/ч на м/с</x:v>
      </x:c>
      <x:c r="D16" s="6" t="str">
        <x:v>3,6 × q</x:v>
      </x:c>
      <x:c r="E16" s="6" t="str">
        <x:v>Q = коэффициент × v, при указанной погонной массе</x:v>
      </x:c>
    </x:row>
    <x:row r="17" ht="50" customHeight="1">
      <x:c r="A17" s="6" t="str">
        <x:v>Массовый расход</x:v>
      </x:c>
      <x:c r="B17" s="16" t="str">
        <x:f>IF(ISBLANK('Исходные данные'!C12),"не задано",IF('Исходные данные'!C12&gt;0,B16*'Исходные данные'!C12,"ошибка скорости"))</x:f>
        <x:v>не задано</x:v>
      </x:c>
      <x:c r="C17" s="12" t="str">
        <x:v>т/ч</x:v>
      </x:c>
      <x:c r="D17" s="6" t="str">
        <x:v>3,6 × q × v</x:v>
      </x:c>
      <x:c r="E17" s="6" t="str">
        <x:v>Не задана скорость; это не требуемая производительность</x:v>
      </x:c>
    </x:row>
    <x:row r="18" ht="50" customHeight="1">
      <x:c r="A18" s="6" t="str">
        <x:v>Площадь сечения потока</x:v>
      </x:c>
      <x:c r="B18" s="16" t="str">
        <x:f>IF(ISBLANK('Исходные данные'!C13),"не задано",IF('Исходные данные'!C13&gt;0,'Исходные данные'!C10/'Исходные данные'!C13,"ошибка плотности"))</x:f>
        <x:v>не задано</x:v>
      </x:c>
      <x:c r="C18" s="12" t="str">
        <x:v>м²</x:v>
      </x:c>
      <x:c r="D18" s="6" t="str">
        <x:v>q / ρ</x:v>
      </x:c>
      <x:c r="E18" s="6" t="str">
        <x:v>Не задана плотность</x:v>
      </x:c>
    </x:row>
    <x:row r="19" ht="50" customHeight="1">
      <x:c r="A19" s="6" t="str">
        <x:v>Объёмный расход</x:v>
      </x:c>
      <x:c r="B19" s="16" t="str">
        <x:f>IF(AND(ISNUMBER(B17),ISNUMBER(B18)),3600*B18*'Исходные данные'!C12,"не задано")</x:f>
        <x:v>не задано</x:v>
      </x:c>
      <x:c r="C19" s="12" t="str">
        <x:v>м³/ч</x:v>
      </x:c>
      <x:c r="D19" s="6" t="str">
        <x:v>3600 × A × v</x:v>
      </x:c>
      <x:c r="E19" s="6" t="str">
        <x:v>Не заданы скорость и плотность</x:v>
      </x:c>
    </x:row>
    <x:row r="20" ht="50" customHeight="1">
      <x:c r="A20" s="6" t="str">
        <x:v>Масса на реальной рабочей длине</x:v>
      </x:c>
      <x:c r="B20" s="16" t="str">
        <x:f>IF(ISBLANK('Исходные данные'!C14),"не задано",IF('Исходные данные'!C14&gt;0,'Исходные данные'!C10*'Исходные данные'!C14,"ошибка длины"))</x:f>
        <x:v>не задано</x:v>
      </x:c>
      <x:c r="C20" s="12" t="str">
        <x:v>кг</x:v>
      </x:c>
      <x:c r="D20" s="6" t="str">
        <x:v>q × Lраб</x:v>
      </x:c>
      <x:c r="E20" s="6" t="str">
        <x:v>Не задана длина загруженной ветви</x:v>
      </x:c>
    </x:row>
    <x:row r="21" ht="50" customHeight="1">
      <x:c r="A21" s="6" t="str">
        <x:v>Сила вниз при 1° на реальной длине</x:v>
      </x:c>
      <x:c r="B21" s="16" t="str">
        <x:f>IF(ISNUMBER(B20),B20*'Исходные данные'!C11*SIN(RADIANS('Исходные данные'!C8)),"не задано")</x:f>
        <x:v>не задано</x:v>
      </x:c>
      <x:c r="C21" s="12" t="str">
        <x:v>Н</x:v>
      </x:c>
      <x:c r="D21" s="6" t="str">
        <x:v>mраб × g × sin(θmin)</x:v>
      </x:c>
      <x:c r="E21" s="6" t="str">
        <x:v>Не задана длина загруженной ветви</x:v>
      </x:c>
    </x:row>
    <x:row r="22" ht="50" customHeight="1">
      <x:c r="A22" s="6" t="str">
        <x:v>Сила вниз при 2° на реальной длине</x:v>
      </x:c>
      <x:c r="B22" s="16" t="str">
        <x:f>IF(ISNUMBER(B20),B20*'Исходные данные'!C11*SIN(RADIANS('Исходные данные'!C9)),"не задано")</x:f>
        <x:v>не задано</x:v>
      </x:c>
      <x:c r="C22" s="12" t="str">
        <x:v>Н</x:v>
      </x:c>
      <x:c r="D22" s="6" t="str">
        <x:v>mраб × g × sin(θmax)</x:v>
      </x:c>
      <x:c r="E22" s="6" t="str">
        <x:v>Не задана длина загруженной ветви</x:v>
      </x:c>
    </x:row>
    <x:row r="23" ht="26" customHeight="1">
      <x:c r="A23" s="2"/>
      <x:c r="B23" s="2"/>
      <x:c r="C23" s="2"/>
      <x:c r="D23" s="2"/>
      <x:c r="E23" s="2"/>
    </x:row>
    <x:row r="24" ht="32" customHeight="1">
      <x:c r="A24" s="2" t="str">
        <x:v>Метод: баланс массы и сил, геометрия. Коэффициенты динамики и запаса ещё не назначены.</x:v>
      </x:c>
      <x:c r="B24" s="2"/>
      <x:c r="C24" s="2"/>
      <x:c r="D24" s="2"/>
      <x:c r="E24" s="2"/>
    </x:row>
    <x:row r="25" ht="26" customHeight="1">
      <x:c r="A25" s="2" t="str">
        <x:v>Открыты: полный тяговый расчёт, натяжение, пуск, прочность и подбор компонентов.</x:v>
      </x:c>
      <x:c r="B25" s="2"/>
      <x:c r="C25" s="2"/>
      <x:c r="D25" s="2"/>
      <x:c r="E25" s="2"/>
    </x:row>
    <x:row r="26" ht="26" customHeight="1">
      <x:c r="A26" s="2"/>
      <x:c r="B26" s="2"/>
      <x:c r="C26" s="2"/>
      <x:c r="D26" s="2"/>
      <x:c r="E26" s="2"/>
    </x:row>
    <x:row r="27" ht="26" customHeight="1">
      <x:c r="A27" s="2"/>
      <x:c r="B27" s="2"/>
      <x:c r="C27" s="2"/>
      <x:c r="D27" s="2"/>
      <x:c r="E27" s="2"/>
    </x:row>
    <x:row r="28" ht="26" customHeight="1">
      <x:c r="A28" s="2"/>
      <x:c r="B28" s="2"/>
      <x:c r="C28" s="2"/>
      <x:c r="D28" s="2"/>
      <x:c r="E28" s="2"/>
    </x:row>
    <x:row r="29" ht="26" customHeight="1">
      <x:c r="A29" s="2"/>
      <x:c r="B29" s="2"/>
      <x:c r="C29" s="2"/>
      <x:c r="D29" s="2"/>
      <x:c r="E29" s="2"/>
    </x:row>
  </x:sheetData>
  <x:mergeCells>
    <x:mergeCell ref="A3:E3"/>
    <x:mergeCell ref="A24:E24"/>
    <x:mergeCell ref="A25:E25"/>
  </x:mergeCells>
  <x:conditionalFormatting sqref="B6:B22">
    <x:cfRule type="containsText" dxfId="1" priority="1" operator="containsText" text="не задано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8" hidden="0" customWidth="1"/>
    <x:col min="3" max="3" width="43" hidden="0" customWidth="1"/>
    <x:col min="4" max="4" width="12" hidden="0" customWidth="1"/>
    <x:col min="5" max="5" width="22" hidden="0" customWidth="1"/>
    <x:col min="6" max="6" width="65" hidden="0" customWidth="1"/>
  </x:cols>
  <x:sheetData>
    <x:row r="1" ht="26" customHeight="1">
      <x:c r="A1" s="2"/>
      <x:c r="B1" s="2"/>
      <x:c r="C1" s="2"/>
      <x:c r="D1" s="2"/>
      <x:c r="E1" s="2"/>
      <x:c r="F1" s="2"/>
    </x:row>
    <x:row r="2" ht="26" customHeight="1">
      <x:c r="A2" s="3" t="str">
        <x:v>Исходные данные ЛТ500 R00</x:v>
      </x:c>
      <x:c r="B2" s="2"/>
      <x:c r="C2" s="2"/>
      <x:c r="D2" s="2"/>
      <x:c r="E2" s="2"/>
      <x:c r="F2" s="2"/>
    </x:row>
    <x:row r="3" ht="26" customHeight="1">
      <x:c r="A3" s="2"/>
      <x:c r="B3" s="2"/>
      <x:c r="C3" s="2"/>
      <x:c r="D3" s="2"/>
      <x:c r="E3" s="2"/>
      <x:c r="F3" s="2"/>
    </x:row>
    <x:row r="4" ht="30" customHeight="1">
      <x:c r="A4" s="5" t="str">
        <x:v>Код</x:v>
      </x:c>
      <x:c r="B4" s="5" t="str">
        <x:v>Параметр</x:v>
      </x:c>
      <x:c r="C4" s="5" t="str">
        <x:v>Значение</x:v>
      </x:c>
      <x:c r="D4" s="5" t="str">
        <x:v>Единица</x:v>
      </x:c>
      <x:c r="E4" s="5" t="str">
        <x:v>Статус</x:v>
      </x:c>
      <x:c r="F4" s="5" t="str">
        <x:v>Источник и смысл</x:v>
      </x:c>
    </x:row>
    <x:row r="5" ht="58" customHeight="1">
      <x:c r="A5" s="2" t="str">
        <x:v>ИД01</x:v>
      </x:c>
      <x:c r="B5" s="6" t="str">
        <x:v>Полная длина</x:v>
      </x:c>
      <x:c r="C5" s="10" t="n">
        <x:v>10000</x:v>
      </x:c>
      <x:c r="D5" s="12" t="str">
        <x:v>мм</x:v>
      </x:c>
      <x:c r="E5" s="12" t="str">
        <x:v>Подтверждено</x:v>
      </x:c>
      <x:c r="F5" s="6" t="str">
        <x:v>Ответ пользователя; это габарит, не межосевое расстояние</x:v>
      </x:c>
    </x:row>
    <x:row r="6" ht="58" customHeight="1">
      <x:c r="A6" s="2" t="str">
        <x:v>ИД02</x:v>
      </x:c>
      <x:c r="B6" s="6" t="str">
        <x:v>Ширина ленты</x:v>
      </x:c>
      <x:c r="C6" s="10" t="n">
        <x:v>500</x:v>
      </x:c>
      <x:c r="D6" s="12" t="str">
        <x:v>мм</x:v>
      </x:c>
      <x:c r="E6" s="12" t="str">
        <x:v>Подтверждено</x:v>
      </x:c>
      <x:c r="F6" s="6" t="str">
        <x:v>Ответ пользователя; заменяет первоначальные 600 мм</x:v>
      </x:c>
    </x:row>
    <x:row r="7" ht="58" customHeight="1">
      <x:c r="A7" s="2" t="str">
        <x:v>ИД03</x:v>
      </x:c>
      <x:c r="B7" s="6" t="str">
        <x:v>Высота рабочей поверхности</x:v>
      </x:c>
      <x:c r="C7" s="10" t="n">
        <x:v>800</x:v>
      </x:c>
      <x:c r="D7" s="12" t="str">
        <x:v>мм</x:v>
      </x:c>
      <x:c r="E7" s="12" t="str">
        <x:v>Ориентир</x:v>
      </x:c>
      <x:c r="F7" s="6" t="str">
        <x:v>Ответ пользователя; точка привязки и окончательная отметка не заданы</x:v>
      </x:c>
    </x:row>
    <x:row r="8" ht="58" customHeight="1">
      <x:c r="A8" s="2" t="str">
        <x:v>ИД04</x:v>
      </x:c>
      <x:c r="B8" s="6" t="str">
        <x:v>Наклон к выгрузке минимум</x:v>
      </x:c>
      <x:c r="C8" s="10" t="n">
        <x:v>1</x:v>
      </x:c>
      <x:c r="D8" s="12" t="str">
        <x:v>град</x:v>
      </x:c>
      <x:c r="E8" s="12" t="str">
        <x:v>Диапазон</x:v>
      </x:c>
      <x:c r="F8" s="6" t="str">
        <x:v>Ответ пользователя; лента опускается к выгрузке</x:v>
      </x:c>
    </x:row>
    <x:row r="9" ht="58" customHeight="1">
      <x:c r="A9" s="2" t="str">
        <x:v>ИД05</x:v>
      </x:c>
      <x:c r="B9" s="6" t="str">
        <x:v>Наклон к выгрузке максимум</x:v>
      </x:c>
      <x:c r="C9" s="10" t="n">
        <x:v>2</x:v>
      </x:c>
      <x:c r="D9" s="12" t="str">
        <x:v>град</x:v>
      </x:c>
      <x:c r="E9" s="12" t="str">
        <x:v>Диапазон</x:v>
      </x:c>
      <x:c r="F9" s="6" t="str">
        <x:v>Ответ пользователя; точный угол не назначен</x:v>
      </x:c>
    </x:row>
    <x:row r="10" ht="58" customHeight="1">
      <x:c r="A10" s="2" t="str">
        <x:v>ИД06</x:v>
      </x:c>
      <x:c r="B10" s="6" t="str">
        <x:v>Погонная масса материала</x:v>
      </x:c>
      <x:c r="C10" s="10" t="n">
        <x:v>30</x:v>
      </x:c>
      <x:c r="D10" s="12" t="str">
        <x:v>кг/м</x:v>
      </x:c>
      <x:c r="E10" s="12" t="str">
        <x:v>Приблизительно</x:v>
      </x:c>
      <x:c r="F10" s="6" t="str">
        <x:v>Первоначальное задание; требует проверки по реальному потоку</x:v>
      </x:c>
    </x:row>
    <x:row r="11" ht="58" customHeight="1">
      <x:c r="A11" s="2" t="str">
        <x:v>ИД07</x:v>
      </x:c>
      <x:c r="B11" s="6" t="str">
        <x:v>Ускорение свободного падения</x:v>
      </x:c>
      <x:c r="C11" s="10" t="n">
        <x:v>9.80665</x:v>
      </x:c>
      <x:c r="D11" s="12" t="str">
        <x:v>м/с²</x:v>
      </x:c>
      <x:c r="E11" s="12" t="str">
        <x:v>Расчётная константа</x:v>
      </x:c>
      <x:c r="F11" s="6" t="str">
        <x:v>Стандартное ускорение, используется для перевода массы в силу</x:v>
      </x:c>
    </x:row>
    <x:row r="12" ht="58" customHeight="1">
      <x:c r="A12" s="2" t="str">
        <x:v>ИД08</x:v>
      </x:c>
      <x:c r="B12" s="6" t="str">
        <x:v>Скорость ленты</x:v>
      </x:c>
      <x:c r="C12" s="10"/>
      <x:c r="D12" s="12" t="str">
        <x:v>м/с</x:v>
      </x:c>
      <x:c r="E12" s="12" t="str">
        <x:v>Не задано</x:v>
      </x:c>
      <x:c r="F12" s="6" t="str">
        <x:v>Назначить после определения требуемого потока и пригодности транспортирования</x:v>
      </x:c>
    </x:row>
    <x:row r="13" ht="58" customHeight="1">
      <x:c r="A13" s="2" t="str">
        <x:v>ИД09</x:v>
      </x:c>
      <x:c r="B13" s="6" t="str">
        <x:v>Насыпная плотность</x:v>
      </x:c>
      <x:c r="C13" s="10"/>
      <x:c r="D13" s="12" t="str">
        <x:v>кг/м³</x:v>
      </x:c>
      <x:c r="E13" s="12" t="str">
        <x:v>Не задано</x:v>
      </x:c>
      <x:c r="F13" s="6" t="str">
        <x:v>Измерить для влажных отбросов в фактическом состоянии</x:v>
      </x:c>
    </x:row>
    <x:row r="14" ht="58" customHeight="1">
      <x:c r="A14" s="2" t="str">
        <x:v>ИД10</x:v>
      </x:c>
      <x:c r="B14" s="6" t="str">
        <x:v>Длина загруженной рабочей ветви</x:v>
      </x:c>
      <x:c r="C14" s="10"/>
      <x:c r="D14" s="12" t="str">
        <x:v>м</x:v>
      </x:c>
      <x:c r="E14" s="12" t="str">
        <x:v>Не задано</x:v>
      </x:c>
      <x:c r="F14" s="6" t="str">
        <x:v>Определить компоновкой барабанов, загрузки и выгрузки</x:v>
      </x:c>
    </x:row>
    <x:row r="15" ht="58" customHeight="1">
      <x:c r="A15" s="2" t="str">
        <x:v>ИД11</x:v>
      </x:c>
      <x:c r="B15" s="6" t="str">
        <x:v>Материал</x:v>
      </x:c>
      <x:c r="C15" s="11" t="str">
        <x:v>Отбросы с решёток</x:v>
      </x:c>
      <x:c r="D15" s="12" t="str"/>
      <x:c r="E15" s="12" t="str">
        <x:v>Подтверждено</x:v>
      </x:c>
      <x:c r="F15" s="6" t="str">
        <x:v>Без предварительного отжима</x:v>
      </x:c>
    </x:row>
    <x:row r="16" ht="58" customHeight="1">
      <x:c r="A16" s="2" t="str">
        <x:v>ИД12</x:v>
      </x:c>
      <x:c r="B16" s="6" t="str">
        <x:v>Максимальное включение</x:v>
      </x:c>
      <x:c r="C16" s="11"/>
      <x:c r="D16" s="12" t="str">
        <x:v>мм</x:v>
      </x:c>
      <x:c r="E16" s="12" t="str">
        <x:v>Не задано</x:v>
      </x:c>
      <x:c r="F16" s="6" t="str">
        <x:v>Пользователь: неизвестно</x:v>
      </x:c>
    </x:row>
    <x:row r="17" ht="58" customHeight="1">
      <x:c r="A17" s="2" t="str">
        <x:v>ИД13</x:v>
      </x:c>
      <x:c r="B17" s="6" t="str">
        <x:v>Производительность</x:v>
      </x:c>
      <x:c r="C17" s="11"/>
      <x:c r="D17" s="12" t="str">
        <x:v>т/ч</x:v>
      </x:c>
      <x:c r="E17" s="12" t="str">
        <x:v>Не задано</x:v>
      </x:c>
      <x:c r="F17" s="6" t="str">
        <x:v>Пользователь: неизвестно</x:v>
      </x:c>
    </x:row>
    <x:row r="18" ht="58" customHeight="1">
      <x:c r="A18" s="2" t="str">
        <x:v>ИД14</x:v>
      </x:c>
      <x:c r="B18" s="6" t="str">
        <x:v>Число решёток максимум</x:v>
      </x:c>
      <x:c r="C18" s="11" t="n">
        <x:v>3</x:v>
      </x:c>
      <x:c r="D18" s="12" t="str">
        <x:v>шт.</x:v>
      </x:c>
      <x:c r="E18" s="12" t="str">
        <x:v>Подтверждено</x:v>
      </x:c>
      <x:c r="F18" s="6" t="str">
        <x:v>Не более трёх; количество точек и одновременность подачи не определены</x:v>
      </x:c>
    </x:row>
    <x:row r="19" ht="58" customHeight="1">
      <x:c r="A19" s="2" t="str">
        <x:v>ИД15</x:v>
      </x:c>
      <x:c r="B19" s="6" t="str">
        <x:v>Режим</x:v>
      </x:c>
      <x:c r="C19" s="11" t="str">
        <x:v>Непрерывный</x:v>
      </x:c>
      <x:c r="D19" s="12" t="str"/>
      <x:c r="E19" s="12" t="str">
        <x:v>Подтверждено</x:v>
      </x:c>
      <x:c r="F19" s="6" t="str">
        <x:v>Часы в сутки, число пусков и требуемый ресурс не заданы</x:v>
      </x:c>
    </x:row>
    <x:row r="20" ht="58" customHeight="1">
      <x:c r="A20" s="2" t="str">
        <x:v>ИД16</x:v>
      </x:c>
      <x:c r="B20" s="6" t="str">
        <x:v>Пуск при полной загрузке</x:v>
      </x:c>
      <x:c r="C20" s="11" t="str">
        <x:v>Не требуется</x:v>
      </x:c>
      <x:c r="D20" s="12" t="str"/>
      <x:c r="E20" s="12" t="str">
        <x:v>Подтверждено</x:v>
      </x:c>
      <x:c r="F20" s="6" t="str">
        <x:v>Не означает, что любой повторный пуск будет на пустой ленте</x:v>
      </x:c>
    </x:row>
    <x:row r="21" ht="58" customHeight="1">
      <x:c r="A21" s="2" t="str">
        <x:v>ИД17</x:v>
      </x:c>
      <x:c r="B21" s="6" t="str">
        <x:v>Место установки</x:v>
      </x:c>
      <x:c r="C21" s="11" t="str">
        <x:v>Помещение</x:v>
      </x:c>
      <x:c r="D21" s="12" t="str"/>
      <x:c r="E21" s="12" t="str">
        <x:v>Подтверждено</x:v>
      </x:c>
      <x:c r="F21" s="6" t="str">
        <x:v>Зимой температура положительная; пределы и химическая среда не заданы</x:v>
      </x:c>
    </x:row>
    <x:row r="22" ht="58" customHeight="1">
      <x:c r="A22" s="2" t="str">
        <x:v>ИД18</x:v>
      </x:c>
      <x:c r="B22" s="6" t="str">
        <x:v>Промывка</x:v>
      </x:c>
      <x:c r="C22" s="11" t="str">
        <x:v>Обычным шлангом</x:v>
      </x:c>
      <x:c r="D22" s="12" t="str"/>
      <x:c r="E22" s="12" t="str">
        <x:v>Подтверждено</x:v>
      </x:c>
      <x:c r="F22" s="6" t="str">
        <x:v>Состав моющих средств не задан</x:v>
      </x:c>
    </x:row>
    <x:row r="23" ht="58" customHeight="1">
      <x:c r="A23" s="2" t="str">
        <x:v>ИД19</x:v>
      </x:c>
      <x:c r="B23" s="6" t="str">
        <x:v>Напряжение питания</x:v>
      </x:c>
      <x:c r="C23" s="11" t="n">
        <x:v>380</x:v>
      </x:c>
      <x:c r="D23" s="12" t="str">
        <x:v>В</x:v>
      </x:c>
      <x:c r="E23" s="12" t="str">
        <x:v>Подтверждено</x:v>
      </x:c>
      <x:c r="F23" s="6" t="str">
        <x:v>Фазы, частота, заземление и ток короткого замыкания требуют подтверждения</x:v>
      </x:c>
    </x:row>
    <x:row r="24" ht="58" customHeight="1">
      <x:c r="A24" s="2" t="str">
        <x:v>ИД20</x:v>
      </x:c>
      <x:c r="B24" s="6" t="str">
        <x:v>Регулировка скорости</x:v>
      </x:c>
      <x:c r="C24" s="11" t="str">
        <x:v>Не требуется</x:v>
      </x:c>
      <x:c r="D24" s="12" t="str"/>
      <x:c r="E24" s="12" t="str">
        <x:v>Подтверждено</x:v>
      </x:c>
      <x:c r="F24" s="6" t="str">
        <x:v>Постоянная рабочая скорость; значение пока не выбрано</x:v>
      </x:c>
    </x:row>
    <x:row r="25" ht="58" customHeight="1">
      <x:c r="A25" s="2" t="str">
        <x:v>ИД21</x:v>
      </x:c>
      <x:c r="B25" s="6" t="str">
        <x:v>Управление</x:v>
      </x:c>
      <x:c r="C25" s="11" t="str">
        <x:v>Местное Пуск Стоп</x:v>
      </x:c>
      <x:c r="D25" s="12" t="str"/>
      <x:c r="E25" s="12" t="str">
        <x:v>Подтверждено</x:v>
      </x:c>
      <x:c r="F25" s="6" t="str">
        <x:v>Выбран вариант 1; управление от внешней автоматики не запрошено</x:v>
      </x:c>
    </x:row>
    <x:row r="26" ht="58" customHeight="1">
      <x:c r="A26" s="2" t="str">
        <x:v>ИД22</x:v>
      </x:c>
      <x:c r="B26" s="6" t="str">
        <x:v>Опоры</x:v>
      </x:c>
      <x:c r="C26" s="11" t="str">
        <x:v>Собственные, анкеры в бетон</x:v>
      </x:c>
      <x:c r="D26" s="12" t="str"/>
      <x:c r="E26" s="12" t="str">
        <x:v>Подтверждено</x:v>
      </x:c>
      <x:c r="F26" s="6" t="str">
        <x:v>Прочность и толщина бетона, координаты опор не заданы</x:v>
      </x:c>
    </x:row>
    <x:row r="27" ht="58" customHeight="1">
      <x:c r="A27" s="2" t="str">
        <x:v>ИД23</x:v>
      </x:c>
      <x:c r="B27" s="6" t="str">
        <x:v>Боковые борта</x:v>
      </x:c>
      <x:c r="C27" s="11" t="str">
        <x:v>Нет</x:v>
      </x:c>
      <x:c r="D27" s="12" t="str"/>
      <x:c r="E27" s="12" t="str">
        <x:v>Подтверждено</x:v>
      </x:c>
      <x:c r="F27" s="6" t="str">
        <x:v>Удержание материала проверить при загрузке без бортов</x:v>
      </x:c>
    </x:row>
    <x:row r="28" ht="58" customHeight="1">
      <x:c r="A28" s="2" t="str">
        <x:v>ИД24</x:v>
      </x:c>
      <x:c r="B28" s="6" t="str">
        <x:v>Крышка рабочей ветви</x:v>
      </x:c>
      <x:c r="C28" s="11" t="str">
        <x:v>Нет</x:v>
      </x:c>
      <x:c r="D28" s="12" t="str"/>
      <x:c r="E28" s="12" t="str">
        <x:v>Подтверждено</x:v>
      </x:c>
      <x:c r="F28" s="6" t="str">
        <x:v>Ограждения опасных механизмов проектируются отдельно</x:v>
      </x:c>
    </x:row>
    <x:row r="29" ht="58" customHeight="1">
      <x:c r="A29" s="2" t="str">
        <x:v>ИД25</x:v>
      </x:c>
      <x:c r="B29" s="6" t="str">
        <x:v>Поддон фильтрата</x:v>
      </x:c>
      <x:c r="C29" s="11" t="str">
        <x:v>Нет</x:v>
      </x:c>
      <x:c r="D29" s="12" t="str"/>
      <x:c r="E29" s="12" t="str">
        <x:v>Подтверждено</x:v>
      </x:c>
      <x:c r="F29" s="6" t="str">
        <x:v>Путь отвода стекающей воды не задан</x:v>
      </x:c>
    </x:row>
    <x:row r="30" ht="58" customHeight="1">
      <x:c r="A30" s="2" t="str">
        <x:v>ИД26</x:v>
      </x:c>
      <x:c r="B30" s="6" t="str">
        <x:v>Очиститель</x:v>
      </x:c>
      <x:c r="C30" s="11" t="str">
        <x:v>Предусмотреть</x:v>
      </x:c>
      <x:c r="D30" s="12" t="str"/>
      <x:c r="E30" s="12" t="str">
        <x:v>Подтверждено</x:v>
      </x:c>
      <x:c r="F30" s="6" t="str">
        <x:v>У разгрузочного барабана; тип и сопротивление не выбраны</x:v>
      </x:c>
    </x:row>
    <x:row r="31" ht="58" customHeight="1">
      <x:c r="A31" s="2" t="str">
        <x:v>ИД27</x:v>
      </x:c>
      <x:c r="B31" s="6" t="str">
        <x:v>Высота падения</x:v>
      </x:c>
      <x:c r="C31" s="11"/>
      <x:c r="D31" s="12" t="str">
        <x:v>мм</x:v>
      </x:c>
      <x:c r="E31" s="12" t="str">
        <x:v>Не задано</x:v>
      </x:c>
      <x:c r="F31" s="6" t="str">
        <x:v>Пользователь: неизвестно; максимальная разовая порция также неизвестна</x:v>
      </x:c>
    </x:row>
    <x:row r="32" ht="58" customHeight="1">
      <x:c r="A32" s="2" t="str">
        <x:v>ИД28</x:v>
      </x:c>
      <x:c r="B32" s="6" t="str">
        <x:v>Секционирование</x:v>
      </x:c>
      <x:c r="C32" s="11" t="str">
        <x:v>Две секции примерно по 5 м</x:v>
      </x:c>
      <x:c r="D32" s="12" t="str"/>
      <x:c r="E32" s="12" t="str">
        <x:v>Разрешено</x:v>
      </x:c>
      <x:c r="F32" s="6" t="str">
        <x:v>Болтовой монтажный стык; длины и положение стыка уточнить</x:v>
      </x:c>
    </x:row>
    <x:row r="33" ht="58" customHeight="1">
      <x:c r="A33" s="2" t="str">
        <x:v>ИД29</x:v>
      </x:c>
      <x:c r="B33" s="6" t="str">
        <x:v>Металлоконструкция</x:v>
      </x:c>
      <x:c r="C33" s="11" t="str">
        <x:v>Ст3</x:v>
      </x:c>
      <x:c r="D33" s="12" t="str"/>
      <x:c r="E33" s="12" t="str">
        <x:v>Из исходного ТЗ</x:v>
      </x:c>
      <x:c r="F33" s="6" t="str">
        <x:v>Подмарка, вид проката, свойства, коррозионная защита требуют уточнения</x:v>
      </x:c>
    </x:row>
    <x:row r="34" ht="58" customHeight="1">
      <x:c r="A34" s="2" t="str">
        <x:v>ИД30</x:v>
      </x:c>
      <x:c r="B34" s="6" t="str">
        <x:v>CAD</x:v>
      </x:c>
      <x:c r="C34" s="11" t="str">
        <x:v>SolidWorks, разработка с нуля</x:v>
      </x:c>
      <x:c r="D34" s="12" t="str"/>
      <x:c r="E34" s="12" t="str">
        <x:v>Подтверждено</x:v>
      </x:c>
      <x:c r="F34" s="6" t="str">
        <x:v>Исходная модель не предоставлена</x:v>
      </x:c>
    </x:row>
    <x:row r="35" ht="58" customHeight="1">
      <x:c r="A35" s="2" t="str">
        <x:v>ИД31</x:v>
      </x:c>
      <x:c r="B35" s="6" t="str">
        <x:v>Покрытие</x:v>
      </x:c>
      <x:c r="C35" s="11" t="str">
        <x:v>Престиж, серое, около 80 мкм</x:v>
      </x:c>
      <x:c r="D35" s="12" t="str"/>
      <x:c r="E35" s="12" t="str">
        <x:v>Из исходного ТЗ</x:v>
      </x:c>
      <x:c r="F35" s="6" t="str">
        <x:v>Не подтверждена конкретная система покрытия и пригодность в данной среде</x:v>
      </x:c>
    </x:row>
    <x:row r="36" ht="26" customHeight="1">
      <x:c r="A36" s="2"/>
      <x:c r="B36" s="2"/>
      <x:c r="C36" s="2"/>
      <x:c r="D36" s="2"/>
      <x:c r="E36" s="2"/>
      <x:c r="F36" s="2"/>
    </x:row>
    <x:row r="37" ht="35" customHeight="1">
      <x:c r="A37" s="2"/>
      <x:c r="B37" s="6" t="str">
        <x:v>Жёлтые ячейки значений — исходные данные. Пустое значение означает отсутствие данных, а не ноль.</x:v>
      </x:c>
      <x:c r="C37" s="6"/>
      <x:c r="D37" s="6"/>
      <x:c r="E37" s="6"/>
      <x:c r="F37" s="6"/>
    </x:row>
    <x:row r="38" ht="26" customHeight="1">
      <x:c r="A38" s="2"/>
      <x:c r="B38" s="2"/>
      <x:c r="C38" s="2"/>
      <x:c r="D38" s="2"/>
      <x:c r="E38" s="2"/>
      <x:c r="F38" s="2"/>
    </x:row>
  </x:sheetData>
  <x:mergeCells>
    <x:mergeCell ref="B37:F37"/>
  </x:mergeCells>
  <x:conditionalFormatting sqref="E5:E35">
    <x:cfRule type="containsText" dxfId="0" priority="1" operator="containsText" text="Не задано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37" hidden="0" customWidth="1"/>
    <x:col min="3" max="3" width="39" hidden="0" customWidth="1"/>
    <x:col min="4" max="4" width="74" hidden="0" customWidth="1"/>
    <x:col min="5" max="5" width="17" hidden="0" customWidth="1"/>
  </x:cols>
  <x:sheetData>
    <x:row r="1" ht="26" customHeight="1">
      <x:c r="A1" s="2"/>
      <x:c r="B1" s="2"/>
      <x:c r="C1" s="2"/>
      <x:c r="D1" s="2"/>
      <x:c r="E1" s="2"/>
    </x:row>
    <x:row r="2" ht="26" customHeight="1">
      <x:c r="A2" s="3" t="str">
        <x:v>Открытые вопросы ЛТ500 R00</x:v>
      </x:c>
      <x:c r="B2" s="2"/>
      <x:c r="C2" s="2"/>
      <x:c r="D2" s="2"/>
      <x:c r="E2" s="2"/>
    </x:row>
    <x:row r="3" ht="26" customHeight="1">
      <x:c r="A3" s="2"/>
      <x:c r="B3" s="2"/>
      <x:c r="C3" s="2"/>
      <x:c r="D3" s="2"/>
      <x:c r="E3" s="2"/>
    </x:row>
    <x:row r="4" ht="30" customHeight="1">
      <x:c r="A4" s="5" t="str">
        <x:v>Код</x:v>
      </x:c>
      <x:c r="B4" s="5" t="str">
        <x:v>Влияние</x:v>
      </x:c>
      <x:c r="C4" s="5" t="str">
        <x:v>Недостающие данные</x:v>
      </x:c>
      <x:c r="D4" s="5" t="str">
        <x:v>Действие для закрытия</x:v>
      </x:c>
      <x:c r="E4" s="5" t="str">
        <x:v>Статус</x:v>
      </x:c>
    </x:row>
    <x:row r="5" ht="86" customHeight="1">
      <x:c r="A5" s="6" t="str">
        <x:v>Б01</x:v>
      </x:c>
      <x:c r="B5" s="6" t="str">
        <x:v>Блокирует поток и привод</x:v>
      </x:c>
      <x:c r="C5" s="6" t="str">
        <x:v>Производительность и плотность</x:v>
      </x:c>
      <x:c r="D5" s="6" t="str">
        <x:v>Получить паспорт/измерения подачи решёток: средняя и пиковая, одновременная подача; определить плотность.</x:v>
      </x:c>
      <x:c r="E5" s="9" t="str">
        <x:v>Открыто</x:v>
      </x:c>
    </x:row>
    <x:row r="6" ht="86" customHeight="1">
      <x:c r="A6" s="6" t="str">
        <x:v>Б02</x:v>
      </x:c>
      <x:c r="B6" s="6" t="str">
        <x:v>Блокирует загрузку и прочность</x:v>
      </x:c>
      <x:c r="C6" s="6" t="str">
        <x:v>Включения и локальная порция</x:v>
      </x:c>
      <x:c r="D6" s="6" t="str">
        <x:v>Оценить тряпки, волокна и крупные предметы; измерить высоту падения и массу максимальной порции.</x:v>
      </x:c>
      <x:c r="E6" s="9" t="str">
        <x:v>Открыто</x:v>
      </x:c>
    </x:row>
    <x:row r="7" ht="86" customHeight="1">
      <x:c r="A7" s="6" t="str">
        <x:v>Б03</x:v>
      </x:c>
      <x:c r="B7" s="6" t="str">
        <x:v>Блокирует окончательную геометрию</x:v>
      </x:c>
      <x:c r="C7" s="6" t="str">
        <x:v>Координаты загрузки и выгрузки</x:v>
      </x:c>
      <x:c r="D7" s="6" t="str">
        <x:v>Обмерить точки подачи до трёх решёток и приёмник; согласовать точный угол и монтажные отметки.</x:v>
      </x:c>
      <x:c r="E7" s="9" t="str">
        <x:v>Открыто</x:v>
      </x:c>
    </x:row>
    <x:row r="8" ht="86" customHeight="1">
      <x:c r="A8" s="6" t="str">
        <x:v>Б04</x:v>
      </x:c>
      <x:c r="B8" s="6" t="str">
        <x:v>Блокирует крепления</x:v>
      </x:c>
      <x:c r="C8" s="6" t="str">
        <x:v>Бетон и размещение опор</x:v>
      </x:c>
      <x:c r="D8" s="6" t="str">
        <x:v>Получить толщину/класс бетона, армирование, край плиты, коммуникации и допустимые координаты опор.</x:v>
      </x:c>
      <x:c r="E8" s="9" t="str">
        <x:v>Открыто</x:v>
      </x:c>
    </x:row>
    <x:row r="9" ht="86" customHeight="1">
      <x:c r="A9" s="6" t="str">
        <x:v>Б05</x:v>
      </x:c>
      <x:c r="B9" s="6" t="str">
        <x:v>Блокирует подбор ленты и покрытие</x:v>
      </x:c>
      <x:c r="C9" s="6" t="str">
        <x:v>Температура и химическая среда</x:v>
      </x:c>
      <x:c r="D9" s="6" t="str">
        <x:v>Указать минимальную/максимальную температуру, моющие вещества и агрессивные примеси.</x:v>
      </x:c>
      <x:c r="E9" s="9" t="str">
        <x:v>Открыто</x:v>
      </x:c>
    </x:row>
    <x:row r="10" ht="86" customHeight="1">
      <x:c r="A10" s="6" t="str">
        <x:v>Б06</x:v>
      </x:c>
      <x:c r="B10" s="6" t="str">
        <x:v>Блокирует повторный пуск и защиту</x:v>
      </x:c>
      <x:c r="C10" s="6" t="str">
        <x:v>Остаточная загрузка после отключения</x:v>
      </x:c>
      <x:c r="D10" s="6" t="str">
        <x:v>Согласовать допустимую остаточную массу при пуске и способ предотвращения запуска с полной лентой.</x:v>
      </x:c>
      <x:c r="E10" s="9" t="str">
        <x:v>Открыто</x:v>
      </x:c>
    </x:row>
    <x:row r="11" ht="86" customHeight="1">
      <x:c r="A11" s="6" t="str">
        <x:v>Б07</x:v>
      </x:c>
      <x:c r="B11" s="6" t="str">
        <x:v>Блокирует электрооборудование</x:v>
      </x:c>
      <x:c r="C11" s="6" t="str">
        <x:v>Параметры сети и зоны</x:v>
      </x:c>
      <x:c r="D11" s="6" t="str">
        <x:v>Подтвердить число фаз, частоту, заземление, параметры защиты; получить сведения о возможной взрывоопасной зоне.</x:v>
      </x:c>
      <x:c r="E11" s="9" t="str">
        <x:v>Открыто</x:v>
      </x:c>
    </x:row>
    <x:row r="12" ht="86" customHeight="1">
      <x:c r="A12" s="6" t="str">
        <x:v>Б08</x:v>
      </x:c>
      <x:c r="B12" s="6" t="str">
        <x:v>Блокирует пусконаладку</x:v>
      </x:c>
      <x:c r="C12" s="6" t="str">
        <x:v>Просыпание и отвод воды</x:v>
      </x:c>
      <x:c r="D12" s="6" t="str">
        <x:v>Согласовать приём отходов и отвод воды при отсутствии бортов и поддона.</x:v>
      </x:c>
      <x:c r="E12" s="9" t="str">
        <x:v>Открыто</x:v>
      </x:c>
    </x:row>
    <x:row r="13" ht="86" customHeight="1">
      <x:c r="A13" s="6" t="str">
        <x:v>В01</x:v>
      </x:c>
      <x:c r="B13" s="6" t="str">
        <x:v>Допускает предварительную компоновку</x:v>
      </x:c>
      <x:c r="C13" s="6" t="str">
        <x:v>Требуемый ресурс и пуски</x:v>
      </x:c>
      <x:c r="D13" s="6" t="str">
        <x:v>Получить часы работы в сутки, пуски в час и межремонтный ресурс до выбора подшипников и привода.</x:v>
      </x:c>
      <x:c r="E13" s="9" t="str">
        <x:v>Открыто</x:v>
      </x:c>
    </x:row>
    <x:row r="14" ht="86" customHeight="1">
      <x:c r="A14" s="6" t="str">
        <x:v>В02</x:v>
      </x:c>
      <x:c r="B14" s="6" t="str">
        <x:v>Допускает предварительную компоновку</x:v>
      </x:c>
      <x:c r="C14" s="6" t="str">
        <x:v>Номенклатура и доставка</x:v>
      </x:c>
      <x:c r="D14" s="6" t="str">
        <x:v>Получить утверждённых поставщиков, ограничения перевозки, ширину проходов и сторону доступа к приводу.</x:v>
      </x:c>
      <x:c r="E14" s="9" t="str">
        <x:v>Открыто</x:v>
      </x:c>
    </x:row>
    <x:row r="15" ht="86" customHeight="1">
      <x:c r="A15" s="6" t="str">
        <x:v>В03</x:v>
      </x:c>
      <x:c r="B15" s="6" t="str">
        <x:v>Блокирует производственные файлы</x:v>
      </x:c>
      <x:c r="C15" s="6" t="str">
        <x:v>Гибка, токарная обработка и CAM</x:v>
      </x:c>
      <x:c r="D15" s="6" t="str">
        <x:v>Подтвердить гибочный станок, возможность изготовления барабанов/валов, ЧПУ, постпроцессор, инструменты и установки.</x:v>
      </x:c>
      <x:c r="E15" s="9" t="str">
        <x:v>Открыто</x:v>
      </x:c>
    </x:row>
    <x:row r="16" ht="86" customHeight="1">
      <x:c r="A16" s="6" t="str">
        <x:v>В04</x:v>
      </x:c>
      <x:c r="B16" s="6" t="str">
        <x:v>Блокирует выпуск КД</x:v>
      </x:c>
      <x:c r="C16" s="6" t="str">
        <x:v>SolidWorks API и нормативы</x:v>
      </x:c>
      <x:c r="D16" s="6" t="str">
        <x:v>Восстановить подключение к SolidWorks API; проверить применимые редакции ЕСКД и нормативы безопасности перед выпуском.</x:v>
      </x:c>
      <x:c r="E16" s="9" t="str">
        <x:v>Открыто</x:v>
      </x:c>
    </x:row>
    <x:row r="17" ht="26" customHeight="1">
      <x:c r="A17" s="2"/>
      <x:c r="B17" s="2"/>
      <x:c r="C17" s="2"/>
      <x:c r="D17" s="2"/>
      <x:c r="E17" s="2"/>
    </x:row>
    <x:row r="18" ht="26" customHeight="1">
      <x:c r="A18" s="2"/>
      <x:c r="B18" s="2"/>
      <x:c r="C18" s="2"/>
      <x:c r="D18" s="2"/>
      <x:c r="E18" s="2"/>
    </x:row>
    <x:row r="19" ht="26" customHeight="1">
      <x:c r="A19" s="2"/>
      <x:c r="B19" s="2"/>
      <x:c r="C19" s="2"/>
      <x:c r="D19" s="2"/>
      <x:c r="E19" s="2"/>
    </x:row>
    <x:row r="20" ht="26" customHeight="1">
      <x:c r="A20" s="2"/>
      <x:c r="B20" s="2"/>
      <x:c r="C20" s="2"/>
      <x:c r="D20" s="2"/>
      <x:c r="E20" s="2"/>
    </x:row>
  </x:sheetData>
  <x:dataValidations count="1">
    <x:dataValidation type="list" sqref="E5:E16">
      <x:formula1>"Открыто,В работе,Закрыто"</x:formula1>
    </x:dataValidation>
  </x:dataValidations>
  <x:pageMargins left="0.7" right="0.7" top="0.75" bottom="0.75" header="0.3" footer="0.3"/>
</x:worksheet>
</file>