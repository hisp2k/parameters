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6dac07447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оры" sheetId="1" r:id="R04d1836027cc48fd"/>
    <x:sheet xmlns:r="http://schemas.openxmlformats.org/officeDocument/2006/relationships" name="Параметры" sheetId="2" r:id="R12b4d91cd2cf4e56"/>
    <x:sheet xmlns:r="http://schemas.openxmlformats.org/officeDocument/2006/relationships" name="Сечения" sheetId="3" r:id="R5bc726888322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  <x:fill>
      <x:patternFill patternType="solid">
        <x:fgColor rgb="FFE9F2E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e74f8194b4bf8" /><Relationship Type="http://schemas.openxmlformats.org/officeDocument/2006/relationships/theme" Target="/xl/theme/theme1.xml" Id="R3a8d207a96cc4d59" /><Relationship Type="http://schemas.openxmlformats.org/officeDocument/2006/relationships/sharedStrings" Target="/xl/sharedStrings.xml" Id="Rf23f72700f2d4dde" /><Relationship Type="http://schemas.openxmlformats.org/officeDocument/2006/relationships/worksheet" Target="/xl/worksheets/sheet1.xml" Id="R04d1836027cc48fd" /><Relationship Type="http://schemas.openxmlformats.org/officeDocument/2006/relationships/worksheet" Target="/xl/worksheets/sheet2.xml" Id="R12b4d91cd2cf4e56" /><Relationship Type="http://schemas.openxmlformats.org/officeDocument/2006/relationships/worksheet" Target="/xl/worksheets/sheet3.xml" Id="R5bc726888322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Вертикальные нагрузки и высоты поперечных опор R04</x:v>
      </x:c>
      <x:c r="B2" s="2"/>
      <x:c r="C2" s="2"/>
      <x:c r="D2" s="2"/>
      <x:c r="E2" s="2"/>
      <x:c r="F2" s="2"/>
      <x:c r="G2" s="2"/>
      <x:c r="H2" s="2"/>
      <x:c r="I2" s="2"/>
    </x:row>
    <x:row r="3" ht="50" customHeight="1">
      <x:c r="A3" s="7" t="str">
        <x:v>Схема двух непрерывных двухпролётных модулей, стык шарнирный над общей опорой. Σ=q+трубы+15 кг — условная комбинация, возможен двойной учёт материала. Пять локальных огибающих не действуют одновременно.</x:v>
      </x:c>
      <x:c r="B3" s="7"/>
      <x:c r="C3" s="7"/>
      <x:c r="D3" s="7"/>
      <x:c r="E3" s="7"/>
      <x:c r="F3" s="7"/>
      <x:c r="G3" s="7"/>
      <x:c r="H3" s="7"/>
      <x:c r="I3" s="7"/>
    </x:row>
    <x:row r="4" ht="3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0" customHeight="1">
      <x:c r="A5" s="6" t="str">
        <x:v>Ось, мм</x:v>
      </x:c>
      <x:c r="B5" s="6" t="str">
        <x:v>Трубы: длина влияния, м</x:v>
      </x:c>
      <x:c r="C5" s="6" t="str">
        <x:v>Материал: длина влияния, м</x:v>
      </x:c>
      <x:c r="D5" s="6" t="str">
        <x:v>q, Н</x:v>
      </x:c>
      <x:c r="E5" s="6" t="str">
        <x:v>Трубы, Н</x:v>
      </x:c>
      <x:c r="F5" s="6" t="str">
        <x:v>Прочие узлы, Н</x:v>
      </x:c>
      <x:c r="G5" s="6" t="str">
        <x:v>q + вес, Н</x:v>
      </x:c>
      <x:c r="H5" s="6" t="str">
        <x:v>15 кг + вес, Н</x:v>
      </x:c>
      <x:c r="I5" s="6" t="str">
        <x:v>Условная Σ, Н</x:v>
      </x:c>
    </x:row>
    <x:row r="6" ht="32" customHeight="1">
      <x:c r="A6" s="12" t="n">
        <x:f>('Параметры'!B11+0*'Параметры'!B12)*1000</x:f>
        <x:v>200</x:v>
      </x:c>
      <x:c r="B6" s="13" t="n">
        <x:f>0.375*'Параметры'!B12</x:f>
        <x:v>0.8999999999999999</x:v>
      </x:c>
      <x:c r="C6" s="13" t="n">
        <x:f>B6+'Параметры'!B11</x:f>
        <x:v>1.0999999999999999</x:v>
      </x:c>
      <x:c r="D6" s="13" t="n">
        <x:f>C6*'Параметры'!B9*'Параметры'!B8</x:f>
        <x:v>323.6194499999999</x:v>
      </x:c>
      <x:c r="E6" s="13" t="n">
        <x:f>B6*2*'Сечения'!B20*'Параметры'!B8</x:f>
        <x:v>116.51113184299442</x:v>
      </x:c>
      <x:c r="F6" s="13" t="n">
        <x:f>IF(ISBLANK('Параметры'!B24),0,C6*'Параметры'!B24*'Параметры'!B8)</x:f>
        <x:v>0</x:v>
      </x:c>
      <x:c r="G6" s="13" t="n">
        <x:f>SUM(D6:F6)</x:f>
        <x:v>440.13058184299433</x:v>
      </x:c>
      <x:c r="H6" s="13" t="n">
        <x:f>SUM(E6:F6)+'Параметры'!B10*'Параметры'!B8</x:f>
        <x:v>263.61088184299444</x:v>
      </x:c>
      <x:c r="I6" s="13" t="n">
        <x:f>G6+'Параметры'!B10*'Параметры'!B8</x:f>
        <x:v>587.2303318429944</x:v>
      </x:c>
    </x:row>
    <x:row r="7" ht="32" customHeight="1">
      <x:c r="A7" s="12" t="n">
        <x:f>('Параметры'!B11+1*'Параметры'!B12)*1000</x:f>
        <x:v>2600</x:v>
      </x:c>
      <x:c r="B7" s="13" t="n">
        <x:f>1.25*'Параметры'!B12</x:f>
        <x:v>3</x:v>
      </x:c>
      <x:c r="C7" s="13" t="n">
        <x:f>B7</x:f>
        <x:v>3</x:v>
      </x:c>
      <x:c r="D7" s="13" t="n">
        <x:f>C7*'Параметры'!B9*'Параметры'!B8</x:f>
        <x:v>882.5985</x:v>
      </x:c>
      <x:c r="E7" s="13" t="n">
        <x:f>B7*2*'Сечения'!B20*'Параметры'!B8</x:f>
        <x:v>388.3704394766481</x:v>
      </x:c>
      <x:c r="F7" s="13" t="n">
        <x:f>IF(ISBLANK('Параметры'!B24),0,C7*'Параметры'!B24*'Параметры'!B8)</x:f>
        <x:v>0</x:v>
      </x:c>
      <x:c r="G7" s="13" t="n">
        <x:f>SUM(D7:F7)</x:f>
        <x:v>1270.968939476648</x:v>
      </x:c>
      <x:c r="H7" s="13" t="n">
        <x:f>SUM(E7:F7)+'Параметры'!B10*'Параметры'!B8</x:f>
        <x:v>535.4701894766481</x:v>
      </x:c>
      <x:c r="I7" s="13" t="n">
        <x:f>G7+'Параметры'!B10*'Параметры'!B8</x:f>
        <x:v>1418.0686894766482</x:v>
      </x:c>
    </x:row>
    <x:row r="8" ht="32" customHeight="1">
      <x:c r="A8" s="12" t="n">
        <x:f>('Параметры'!B11+2*'Параметры'!B12)*1000</x:f>
        <x:v>5000</x:v>
      </x:c>
      <x:c r="B8" s="13" t="n">
        <x:f>0.75*'Параметры'!B12</x:f>
        <x:v>1.7999999999999998</x:v>
      </x:c>
      <x:c r="C8" s="13" t="n">
        <x:f>B8</x:f>
        <x:v>1.7999999999999998</x:v>
      </x:c>
      <x:c r="D8" s="13" t="n">
        <x:f>C8*'Параметры'!B9*'Параметры'!B8</x:f>
        <x:v>529.5591</x:v>
      </x:c>
      <x:c r="E8" s="13" t="n">
        <x:f>B8*2*'Сечения'!B20*'Параметры'!B8</x:f>
        <x:v>233.02226368598883</x:v>
      </x:c>
      <x:c r="F8" s="13" t="n">
        <x:f>IF(ISBLANK('Параметры'!B24),0,C8*'Параметры'!B24*'Параметры'!B8)</x:f>
        <x:v>0</x:v>
      </x:c>
      <x:c r="G8" s="13" t="n">
        <x:f>SUM(D8:F8)</x:f>
        <x:v>762.5813636859888</x:v>
      </x:c>
      <x:c r="H8" s="13" t="n">
        <x:f>SUM(E8:F8)+'Параметры'!B10*'Параметры'!B8</x:f>
        <x:v>380.1220136859888</x:v>
      </x:c>
      <x:c r="I8" s="13" t="n">
        <x:f>G8+'Параметры'!B10*'Параметры'!B8</x:f>
        <x:v>909.6811136859887</x:v>
      </x:c>
    </x:row>
    <x:row r="9" ht="32" customHeight="1">
      <x:c r="A9" s="12" t="n">
        <x:f>('Параметры'!B11+3*'Параметры'!B12)*1000</x:f>
        <x:v>7399.999999999999</x:v>
      </x:c>
      <x:c r="B9" s="13" t="n">
        <x:f>1.25*'Параметры'!B12</x:f>
        <x:v>3</x:v>
      </x:c>
      <x:c r="C9" s="13" t="n">
        <x:f>B9</x:f>
        <x:v>3</x:v>
      </x:c>
      <x:c r="D9" s="13" t="n">
        <x:f>C9*'Параметры'!B9*'Параметры'!B8</x:f>
        <x:v>882.5985</x:v>
      </x:c>
      <x:c r="E9" s="13" t="n">
        <x:f>B9*2*'Сечения'!B20*'Параметры'!B8</x:f>
        <x:v>388.3704394766481</x:v>
      </x:c>
      <x:c r="F9" s="13" t="n">
        <x:f>IF(ISBLANK('Параметры'!B24),0,C9*'Параметры'!B24*'Параметры'!B8)</x:f>
        <x:v>0</x:v>
      </x:c>
      <x:c r="G9" s="13" t="n">
        <x:f>SUM(D9:F9)</x:f>
        <x:v>1270.968939476648</x:v>
      </x:c>
      <x:c r="H9" s="13" t="n">
        <x:f>SUM(E9:F9)+'Параметры'!B10*'Параметры'!B8</x:f>
        <x:v>535.4701894766481</x:v>
      </x:c>
      <x:c r="I9" s="13" t="n">
        <x:f>G9+'Параметры'!B10*'Параметры'!B8</x:f>
        <x:v>1418.0686894766482</x:v>
      </x:c>
    </x:row>
    <x:row r="10" ht="32" customHeight="1">
      <x:c r="A10" s="12" t="n">
        <x:f>('Параметры'!B11+4*'Параметры'!B12)*1000</x:f>
        <x:v>9799.999999999998</x:v>
      </x:c>
      <x:c r="B10" s="13" t="n">
        <x:f>0.375*'Параметры'!B12</x:f>
        <x:v>0.8999999999999999</x:v>
      </x:c>
      <x:c r="C10" s="13" t="n">
        <x:f>B10+'Параметры'!B11</x:f>
        <x:v>1.0999999999999999</x:v>
      </x:c>
      <x:c r="D10" s="13" t="n">
        <x:f>C10*'Параметры'!B9*'Параметры'!B8</x:f>
        <x:v>323.6194499999999</x:v>
      </x:c>
      <x:c r="E10" s="13" t="n">
        <x:f>B10*2*'Сечения'!B20*'Параметры'!B8</x:f>
        <x:v>116.51113184299442</x:v>
      </x:c>
      <x:c r="F10" s="13" t="n">
        <x:f>IF(ISBLANK('Параметры'!B24),0,C10*'Параметры'!B24*'Параметры'!B8)</x:f>
        <x:v>0</x:v>
      </x:c>
      <x:c r="G10" s="13" t="n">
        <x:f>SUM(D10:F10)</x:f>
        <x:v>440.13058184299433</x:v>
      </x:c>
      <x:c r="H10" s="13" t="n">
        <x:f>SUM(E10:F10)+'Параметры'!B10*'Параметры'!B8</x:f>
        <x:v>263.61088184299444</x:v>
      </x:c>
      <x:c r="I10" s="13" t="n">
        <x:f>G10+'Параметры'!B10*'Параметры'!B8</x:f>
        <x:v>587.2303318429944</x:v>
      </x:c>
    </x:row>
    <x:row r="11" ht="32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40" customHeight="1">
      <x:c r="A13" s="7" t="str">
        <x:v>Максимальная вертикальная Σ</x:v>
      </x:c>
      <x:c r="B13" s="7"/>
      <x:c r="C13" s="7"/>
      <x:c r="D13" s="11" t="n">
        <x:f>MAX(I6:I10)</x:f>
        <x:v>1418.0686894766482</x:v>
      </x:c>
      <x:c r="E13" s="7" t="str">
        <x:v>Н</x:v>
      </x:c>
      <x:c r="F13" s="7" t="str">
        <x:v>Отдельная огибающая опоры</x:v>
      </x:c>
      <x:c r="G13" s="7"/>
      <x:c r="H13" s="7"/>
      <x:c r="I13" s="7"/>
    </x:row>
    <x:row r="14" ht="40" customHeight="1">
      <x:c r="A14" s="7" t="str">
        <x:v>Вес верхней балки на единицу длины</x:v>
      </x:c>
      <x:c r="B14" s="7"/>
      <x:c r="C14" s="7"/>
      <x:c r="D14" s="11" t="n">
        <x:f>'Сечения'!C20*'Параметры'!B8</x:f>
        <x:v>102.75557040789579</x:v>
      </x:c>
      <x:c r="E14" s="7" t="str">
        <x:v>Н/м</x:v>
      </x:c>
      <x:c r="F14" s="7" t="str">
        <x:v>Для изгиба поперечины</x:v>
      </x:c>
      <x:c r="G14" s="7"/>
      <x:c r="H14" s="7"/>
      <x:c r="I14" s="7"/>
    </x:row>
    <x:row r="15" ht="40" customHeight="1">
      <x:c r="A15" s="7" t="str">
        <x:v>Пролёт верхней балки</x:v>
      </x:c>
      <x:c r="B15" s="7"/>
      <x:c r="C15" s="7"/>
      <x:c r="D15" s="11" t="n">
        <x:f>'Параметры'!B18/1000</x:f>
        <x:v>0.6</x:v>
      </x:c>
      <x:c r="E15" s="7" t="str">
        <x:v>м</x:v>
      </x:c>
      <x:c r="F15" s="7" t="str">
        <x:v>Оси стоек</x:v>
      </x:c>
      <x:c r="G15" s="7"/>
      <x:c r="H15" s="7"/>
      <x:c r="I15" s="7"/>
    </x:row>
    <x:row r="16" ht="40" customHeight="1">
      <x:c r="A16" s="7" t="str">
        <x:v>Вес двух крайних свесов</x:v>
      </x:c>
      <x:c r="B16" s="7"/>
      <x:c r="C16" s="7"/>
      <x:c r="D16" s="11" t="n">
        <x:f>D14*('Параметры'!B19/1000-D15)</x:f>
        <x:v>10.275557040789577</x:v>
      </x:c>
      <x:c r="E16" s="7" t="str">
        <x:v>Н</x:v>
      </x:c>
      <x:c r="F16" s="7" t="str">
        <x:v>Перенесён в центр для сравнения</x:v>
      </x:c>
      <x:c r="G16" s="7"/>
      <x:c r="H16" s="7"/>
      <x:c r="I16" s="7"/>
    </x:row>
    <x:row r="17" ht="40" customHeight="1">
      <x:c r="A17" s="7" t="str">
        <x:v>M верхней балки</x:v>
      </x:c>
      <x:c r="B17" s="7"/>
      <x:c r="C17" s="7"/>
      <x:c r="D17" s="11" t="n">
        <x:f>(D13+D16)*D15/4+D14*D15^2/8</x:f>
        <x:v>218.87563764597098</x:v>
      </x:c>
      <x:c r="E17" s="7" t="str">
        <x:v>Н·м</x:v>
      </x:c>
      <x:c r="F17" s="7" t="str">
        <x:v>Вся огибающая в середине</x:v>
      </x:c>
      <x:c r="G17" s="7"/>
      <x:c r="H17" s="7"/>
      <x:c r="I17" s="7"/>
    </x:row>
    <x:row r="18" ht="40" customHeight="1">
      <x:c r="A18" s="7" t="str">
        <x:v>σ верхней балки</x:v>
      </x:c>
      <x:c r="B18" s="7"/>
      <x:c r="C18" s="7"/>
      <x:c r="D18" s="11" t="n">
        <x:f>D17*1000/'Сечения'!C19</x:f>
        <x:v>6.525383566737676</x:v>
      </x:c>
      <x:c r="E18" s="7" t="str">
        <x:v>МПа</x:v>
      </x:c>
      <x:c r="F18" s="7" t="str">
        <x:v>Нет допускаемого напряжения</x:v>
      </x:c>
      <x:c r="G18" s="7"/>
      <x:c r="H18" s="7"/>
      <x:c r="I18" s="7"/>
    </x:row>
    <x:row r="19" ht="40" customHeight="1">
      <x:c r="A19" s="7" t="str">
        <x:v>δ верхней балки</x:v>
      </x:c>
      <x:c r="B19" s="7"/>
      <x:c r="C19" s="7"/>
      <x:c r="D19" s="11" t="n">
        <x:f>IF(OR(ISBLANK('Параметры'!B6),'Параметры'!B6&lt;=0),"нет E",((D13+D16)*D15^3/48+5*D14*D15^4/384)*10^9/('Параметры'!B6*'Сечения'!C18))</x:f>
        <x:v>0.024599428623997194</x:v>
      </x:c>
      <x:c r="E19" s="7" t="str">
        <x:v>мм</x:v>
      </x:c>
      <x:c r="F19" s="7" t="str">
        <x:v>Только упругий изгиб</x:v>
      </x:c>
      <x:c r="G19" s="7"/>
      <x:c r="H19" s="7"/>
      <x:c r="I19" s="7"/>
    </x:row>
    <x:row r="20" ht="40" customHeight="1">
      <x:c r="A20" s="7" t="str">
        <x:v>Максимальная длина стойки</x:v>
      </x:c>
      <x:c r="B20" s="7"/>
      <x:c r="C20" s="7"/>
      <x:c r="D20" s="11" t="n">
        <x:f>'Параметры'!B15-'Параметры'!B16-'Сечения'!C7-'Параметры'!B17+('Параметры'!B13/2-'Параметры'!B11)*1000*TAN('Параметры'!B23*PI()/180)</x:f>
        <x:v>709.6196935603891</x:v>
      </x:c>
      <x:c r="E20" s="7" t="str">
        <x:v>мм</x:v>
      </x:c>
      <x:c r="F20" s="7" t="str">
        <x:v>Уклон по Параметры B23</x:v>
      </x:c>
      <x:c r="G20" s="7"/>
      <x:c r="H20" s="7"/>
      <x:c r="I20" s="7"/>
    </x:row>
    <x:row r="21" ht="40" customHeight="1">
      <x:c r="A21" s="7" t="str">
        <x:v>N одной стойки</x:v>
      </x:c>
      <x:c r="B21" s="7"/>
      <x:c r="C21" s="7"/>
      <x:c r="D21" s="11" t="n">
        <x:f>D13+'Сечения'!C20*'Параметры'!B19/1000*'Параметры'!B8+'Сечения'!D20*D20/1000*'Параметры'!B8</x:f>
        <x:v>1519.5417147194344</x:v>
      </x:c>
      <x:c r="E21" s="7" t="str">
        <x:v>Н</x:v>
      </x:c>
      <x:c r="F21" s="7" t="str">
        <x:v>Вся нагрузка на одну стойку + вес верхней балки и стойки</x:v>
      </x:c>
      <x:c r="G21" s="7"/>
      <x:c r="H21" s="7"/>
      <x:c r="I21" s="7"/>
    </x:row>
    <x:row r="22" ht="40" customHeight="1">
      <x:c r="A22" s="7" t="str">
        <x:v>σ сжатия стойки</x:v>
      </x:c>
      <x:c r="B22" s="7"/>
      <x:c r="C22" s="7"/>
      <x:c r="D22" s="11" t="n">
        <x:f>D21/'Сечения'!D15</x:f>
        <x:v>2.8096839633153494</x:v>
      </x:c>
      <x:c r="E22" s="7" t="str">
        <x:v>МПа</x:v>
      </x:c>
      <x:c r="F22" s="7" t="str">
        <x:v>Нет проверки общей прочности</x:v>
      </x:c>
      <x:c r="G22" s="7"/>
      <x:c r="H22" s="7"/>
      <x:c r="I22" s="7"/>
    </x:row>
    <x:row r="23" ht="40" customHeight="1">
      <x:c r="A23" s="7" t="str">
        <x:v>Укорочение стойки</x:v>
      </x:c>
      <x:c r="B23" s="7"/>
      <x:c r="C23" s="7"/>
      <x:c r="D23" s="11" t="n">
        <x:f>IF(OR(ISBLANK('Параметры'!B6),'Параметры'!B6&lt;=0),"нет E",D21*D20/('Параметры'!B6*'Сечения'!D15))</x:f>
        <x:v>0.009969035365246888</x:v>
      </x:c>
      <x:c r="E23" s="7" t="str">
        <x:v>мм</x:v>
      </x:c>
      <x:c r="F23" s="7" t="str">
        <x:v>Упругое осевое</x:v>
      </x:c>
      <x:c r="G23" s="7"/>
      <x:c r="H23" s="7"/>
      <x:c r="I23" s="7"/>
    </x:row>
    <x:row r="24" ht="40" customHeight="1">
      <x:c r="A24" s="7" t="str">
        <x:v>Идеальная сила Эйлера</x:v>
      </x:c>
      <x:c r="B24" s="7"/>
      <x:c r="C24" s="7"/>
      <x:c r="D24" s="11" t="n">
        <x:f>IF(OR(ISBLANK('Параметры'!B6),'Параметры'!B6&lt;=0),"нет E",PI()^2*'Параметры'!B6*'Сечения'!D22/('Параметры'!B22*D20)^2)</x:f>
        <x:v>190774.57671292702</x:v>
      </x:c>
      <x:c r="E24" s="7" t="str">
        <x:v>Н</x:v>
      </x:c>
      <x:c r="F24" s="7" t="str">
        <x:v>Не допускаемая нагрузка портала</x:v>
      </x:c>
      <x:c r="G24" s="7"/>
      <x:c r="H24" s="7"/>
      <x:c r="I24" s="7"/>
    </x:row>
    <x:row r="25" ht="32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50" customHeight="1">
      <x:c r="A26" s="7" t="str">
        <x:v>Не включены натяжение ленты, горизонтальные силы, кручение, несовершенства, связи, швы, анкеры и свойства бетона. Размеры плит геометрические. Полная прочность, устойчивость и пригодность к изготовлению НЕ подтверждены.</x:v>
      </x:c>
      <x:c r="B26" s="7"/>
      <x:c r="C26" s="7"/>
      <x:c r="D26" s="7"/>
      <x:c r="E26" s="7"/>
      <x:c r="F26" s="7"/>
      <x:c r="G26" s="7"/>
      <x:c r="H26" s="7"/>
      <x:c r="I26" s="7"/>
    </x:row>
    <x:row r="27" ht="32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32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43" customHeight="1">
      <x:c r="A29" s="6" t="str">
        <x:v>Ось, мм</x:v>
      </x:c>
      <x:c r="B29" s="6" t="str">
        <x:v>Рабочая лента, мм</x:v>
      </x:c>
      <x:c r="C29" s="6" t="str">
        <x:v>Верх опоры, мм</x:v>
      </x:c>
      <x:c r="D29" s="6" t="str">
        <x:v>Длина стойки, мм</x:v>
      </x:c>
      <x:c r="E29" s="2"/>
      <x:c r="F29" s="2"/>
      <x:c r="G29" s="2"/>
      <x:c r="H29" s="2"/>
      <x:c r="I29" s="2"/>
    </x:row>
    <x:row r="30" ht="32" customHeight="1">
      <x:c r="A30" s="13" t="n">
        <x:f>A6</x:f>
        <x:v>200</x:v>
      </x:c>
      <x:c r="B30" s="13" t="n">
        <x:f>'Параметры'!B15+('Параметры'!B13*1000/2-A30)*TAN('Параметры'!B14*PI()/180)</x:f>
        <x:v>925.6924235320972</x:v>
      </x:c>
      <x:c r="C30" s="13" t="n">
        <x:f>B30-'Параметры'!B16</x:f>
        <x:v>755.6924235320972</x:v>
      </x:c>
      <x:c r="D30" s="13" t="n">
        <x:f>C30-'Сечения'!C7-'Параметры'!B17</x:f>
        <x:v>667.6924235320972</x:v>
      </x:c>
      <x:c r="E30" s="2"/>
      <x:c r="F30" s="2"/>
      <x:c r="G30" s="2"/>
      <x:c r="H30" s="2"/>
      <x:c r="I30" s="2"/>
    </x:row>
    <x:row r="31" ht="32" customHeight="1">
      <x:c r="A31" s="13" t="n">
        <x:f>A7</x:f>
        <x:v>2600</x:v>
      </x:c>
      <x:c r="B31" s="13" t="n">
        <x:f>'Параметры'!B15+('Параметры'!B13*1000/2-A31)*TAN('Параметры'!B14*PI()/180)</x:f>
        <x:v>862.8462117660487</x:v>
      </x:c>
      <x:c r="C31" s="13" t="n">
        <x:f>B31-'Параметры'!B16</x:f>
        <x:v>692.8462117660487</x:v>
      </x:c>
      <x:c r="D31" s="13" t="n">
        <x:f>C31-'Сечения'!C7-'Параметры'!B17</x:f>
        <x:v>604.8462117660487</x:v>
      </x:c>
      <x:c r="E31" s="2"/>
      <x:c r="F31" s="2"/>
      <x:c r="G31" s="2"/>
      <x:c r="H31" s="2"/>
      <x:c r="I31" s="2"/>
    </x:row>
    <x:row r="32" ht="32" customHeight="1">
      <x:c r="A32" s="13" t="n">
        <x:f>A8</x:f>
        <x:v>5000</x:v>
      </x:c>
      <x:c r="B32" s="13" t="n">
        <x:f>'Параметры'!B15+('Параметры'!B13*1000/2-A32)*TAN('Параметры'!B14*PI()/180)</x:f>
        <x:v>800</x:v>
      </x:c>
      <x:c r="C32" s="13" t="n">
        <x:f>B32-'Параметры'!B16</x:f>
        <x:v>630</x:v>
      </x:c>
      <x:c r="D32" s="13" t="n">
        <x:f>C32-'Сечения'!C7-'Параметры'!B17</x:f>
        <x:v>542</x:v>
      </x:c>
      <x:c r="E32" s="2"/>
      <x:c r="F32" s="2"/>
      <x:c r="G32" s="2"/>
      <x:c r="H32" s="2"/>
      <x:c r="I32" s="2"/>
    </x:row>
    <x:row r="33" ht="32" customHeight="1">
      <x:c r="A33" s="13" t="n">
        <x:f>A9</x:f>
        <x:v>7399.999999999999</x:v>
      </x:c>
      <x:c r="B33" s="13" t="n">
        <x:f>'Параметры'!B15+('Параметры'!B13*1000/2-A33)*TAN('Параметры'!B14*PI()/180)</x:f>
        <x:v>737.1537882339514</x:v>
      </x:c>
      <x:c r="C33" s="13" t="n">
        <x:f>B33-'Параметры'!B16</x:f>
        <x:v>567.1537882339514</x:v>
      </x:c>
      <x:c r="D33" s="13" t="n">
        <x:f>C33-'Сечения'!C7-'Параметры'!B17</x:f>
        <x:v>479.15378823395145</x:v>
      </x:c>
      <x:c r="E33" s="2"/>
      <x:c r="F33" s="2"/>
      <x:c r="G33" s="2"/>
      <x:c r="H33" s="2"/>
      <x:c r="I33" s="2"/>
    </x:row>
    <x:row r="34" ht="32" customHeight="1">
      <x:c r="A34" s="13" t="n">
        <x:f>A10</x:f>
        <x:v>9799.999999999998</x:v>
      </x:c>
      <x:c r="B34" s="13" t="n">
        <x:f>'Параметры'!B15+('Параметры'!B13*1000/2-A34)*TAN('Параметры'!B14*PI()/180)</x:f>
        <x:v>674.3075764679028</x:v>
      </x:c>
      <x:c r="C34" s="13" t="n">
        <x:f>B34-'Параметры'!B16</x:f>
        <x:v>504.3075764679028</x:v>
      </x:c>
      <x:c r="D34" s="13" t="n">
        <x:f>C34-'Сечения'!C7-'Параметры'!B17</x:f>
        <x:v>416.3075764679028</x:v>
      </x:c>
      <x:c r="E34" s="2"/>
      <x:c r="F34" s="2"/>
      <x:c r="G34" s="2"/>
      <x:c r="H34" s="2"/>
      <x:c r="I34" s="2"/>
    </x:row>
    <x:row r="35" ht="32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50" customHeight="1">
      <x:c r="A36" s="7" t="str">
        <x:v>Высоты по текущему углу B14, номинальные по осям без поправок на наклонное опирание. На ширине 100 мм при 2° перепад 3,49 мм; требуется наклонная опорная поверхность. Размер лента–опора 170 мм не подтверждён роликами. Не для изготовления.</x:v>
      </x:c>
      <x:c r="B36" s="7"/>
      <x:c r="C36" s="7"/>
      <x:c r="D36" s="7"/>
      <x:c r="E36" s="7"/>
      <x:c r="F36" s="7"/>
      <x:c r="G36" s="7"/>
      <x:c r="H36" s="7"/>
      <x:c r="I36" s="7"/>
    </x:row>
    <x:row r="37" ht="3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2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2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32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A2:I2"/>
    <x:mergeCell ref="A3:I3"/>
    <x:mergeCell ref="A13:C13"/>
    <x:mergeCell ref="F13:I13"/>
    <x:mergeCell ref="A14:C14"/>
    <x:mergeCell ref="F14:I14"/>
    <x:mergeCell ref="A15:C15"/>
    <x:mergeCell ref="F15:I15"/>
    <x:mergeCell ref="A16:C16"/>
    <x:mergeCell ref="F16:I16"/>
    <x:mergeCell ref="A17:C17"/>
    <x:mergeCell ref="F17:I17"/>
    <x:mergeCell ref="A18:C18"/>
    <x:mergeCell ref="F18:I18"/>
    <x:mergeCell ref="A19:C19"/>
    <x:mergeCell ref="F19:I19"/>
    <x:mergeCell ref="A20:C20"/>
    <x:mergeCell ref="F20:I20"/>
    <x:mergeCell ref="A21:C21"/>
    <x:mergeCell ref="F21:I21"/>
    <x:mergeCell ref="A22:C22"/>
    <x:mergeCell ref="F22:I22"/>
    <x:mergeCell ref="A23:C23"/>
    <x:mergeCell ref="F23:I23"/>
    <x:mergeCell ref="A24:C24"/>
    <x:mergeCell ref="F24:I24"/>
    <x:mergeCell ref="A26:I26"/>
    <x:mergeCell ref="A36:I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15" hidden="0" customWidth="1"/>
    <x:col min="4" max="4" width="88" hidden="0" customWidth="1"/>
  </x:cols>
  <x:sheetData>
    <x:row r="1" ht="32" customHeight="1">
      <x:c r="A1" s="2"/>
      <x:c r="B1" s="2"/>
      <x:c r="C1" s="2"/>
      <x:c r="D1" s="2"/>
    </x:row>
    <x:row r="2" ht="32" customHeight="1">
      <x:c r="A2" s="3" t="str">
        <x:v>Параметры опор R04 — не для изготовления</x:v>
      </x:c>
      <x:c r="B2" s="2"/>
      <x:c r="C2" s="2"/>
      <x:c r="D2" s="2"/>
    </x:row>
    <x:row r="3" ht="32" customHeight="1">
      <x:c r="A3" s="2"/>
      <x:c r="B3" s="2"/>
      <x:c r="C3" s="2"/>
      <x:c r="D3" s="2"/>
    </x:row>
    <x:row r="4" ht="32" customHeight="1">
      <x:c r="A4" s="2"/>
      <x:c r="B4" s="2"/>
      <x:c r="C4" s="2"/>
      <x:c r="D4" s="2"/>
    </x:row>
    <x:row r="5" ht="43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Основание / статус</x:v>
      </x:c>
    </x:row>
    <x:row r="6" ht="45" customHeight="1">
      <x:c r="A6" s="7" t="str">
        <x:v>E</x:v>
      </x:c>
      <x:c r="B6" s="8" t="n">
        <x:v>200000</x:v>
      </x:c>
      <x:c r="C6" s="7" t="str">
        <x:v>МПа</x:v>
      </x:c>
      <x:c r="D6" s="7" t="str">
        <x:v>Принято для упругого сравнения; конкретный прокат не подтверждён</x:v>
      </x:c>
    </x:row>
    <x:row r="7" ht="45" customHeight="1">
      <x:c r="A7" s="7" t="str">
        <x:v>Плотность</x:v>
      </x:c>
      <x:c r="B7" s="8" t="n">
        <x:v>7850</x:v>
      </x:c>
      <x:c r="C7" s="7" t="str">
        <x:v>кг/м³</x:v>
      </x:c>
      <x:c r="D7" s="7" t="str">
        <x:v>Справочное значение для расчёта массы</x:v>
      </x:c>
    </x:row>
    <x:row r="8" ht="45" customHeight="1">
      <x:c r="A8" s="7" t="str">
        <x:v>g</x:v>
      </x:c>
      <x:c r="B8" s="8" t="n">
        <x:v>9.80665</x:v>
      </x:c>
      <x:c r="C8" s="7" t="str">
        <x:v>м/с²</x:v>
      </x:c>
      <x:c r="D8" s="7" t="str">
        <x:v>Константа</x:v>
      </x:c>
    </x:row>
    <x:row r="9" ht="45" customHeight="1">
      <x:c r="A9" s="7" t="str">
        <x:v>Погонная масса материала</x:v>
      </x:c>
      <x:c r="B9" s="8" t="n">
        <x:v>30</x:v>
      </x:c>
      <x:c r="C9" s="7" t="str">
        <x:v>кг/м</x:v>
      </x:c>
      <x:c r="D9" s="7" t="str">
        <x:v>Первоначальное задание; фактический поток неизвестен</x:v>
      </x:c>
    </x:row>
    <x:row r="10" ht="45" customHeight="1">
      <x:c r="A10" s="7" t="str">
        <x:v>Локальный пик одной зоны</x:v>
      </x:c>
      <x:c r="B10" s="8" t="n">
        <x:v>15</x:v>
      </x:c>
      <x:c r="C10" s="7" t="str">
        <x:v>кг</x:v>
      </x:c>
      <x:c r="D10" s="7" t="str">
        <x:v>Уточнение пользователя: не масса падающей порции</x:v>
      </x:c>
    </x:row>
    <x:row r="11" ht="45" customHeight="1">
      <x:c r="A11" s="7" t="str">
        <x:v>Отступ крайних опор</x:v>
      </x:c>
      <x:c r="B11" s="8" t="n">
        <x:v>0.2</x:v>
      </x:c>
      <x:c r="C11" s="7" t="str">
        <x:v>м</x:v>
      </x:c>
      <x:c r="D11" s="7" t="str">
        <x:v>Компоновочное допущение, размеры барабанных узлов открыты</x:v>
      </x:c>
    </x:row>
    <x:row r="12" ht="45" customHeight="1">
      <x:c r="A12" s="7" t="str">
        <x:v>Пролёт</x:v>
      </x:c>
      <x:c r="B12" s="9" t="n">
        <x:f>(B13-2*B11)/4</x:f>
        <x:v>2.4</x:v>
      </x:c>
      <x:c r="C12" s="7" t="str">
        <x:v>м</x:v>
      </x:c>
      <x:c r="D12" s="7" t="str">
        <x:v>Вычисляется по полной длине и отступам, четыре равных пролёта</x:v>
      </x:c>
    </x:row>
    <x:row r="13" ht="45" customHeight="1">
      <x:c r="A13" s="7" t="str">
        <x:v>Полная длина</x:v>
      </x:c>
      <x:c r="B13" s="8" t="n">
        <x:v>10</x:v>
      </x:c>
      <x:c r="C13" s="7" t="str">
        <x:v>м</x:v>
      </x:c>
      <x:c r="D13" s="7" t="str">
        <x:v>Уточнённый габарит пользователя</x:v>
      </x:c>
    </x:row>
    <x:row r="14" ht="45" customHeight="1">
      <x:c r="A14" s="7" t="str">
        <x:v>Уклон вниз</x:v>
      </x:c>
      <x:c r="B14" s="8" t="n">
        <x:v>1.5</x:v>
      </x:c>
      <x:c r="C14" s="7" t="str">
        <x:v>град</x:v>
      </x:c>
      <x:c r="D14" s="7" t="str">
        <x:v>Временное значение в диапазоне 1–2°</x:v>
      </x:c>
    </x:row>
    <x:row r="15" ht="45" customHeight="1">
      <x:c r="A15" s="7" t="str">
        <x:v>Лента по середине длины</x:v>
      </x:c>
      <x:c r="B15" s="8" t="n">
        <x:v>800</x:v>
      </x:c>
      <x:c r="C15" s="7" t="str">
        <x:v>мм</x:v>
      </x:c>
      <x:c r="D15" s="7" t="str">
        <x:v>Предложенный отсчёт: высота около 800 мм, точка не подтверждена</x:v>
      </x:c>
    </x:row>
    <x:row r="16" ht="45" customHeight="1">
      <x:c r="A16" s="7" t="str">
        <x:v>Лента — верх опоры</x:v>
      </x:c>
      <x:c r="B16" s="8" t="n">
        <x:v>170</x:v>
      </x:c>
      <x:c r="C16" s="7" t="str">
        <x:v>мм</x:v>
      </x:c>
      <x:c r="D16" s="7" t="str">
        <x:v>Геометрическое допущение; ролики ещё не выбраны</x:v>
      </x:c>
    </x:row>
    <x:row r="17" ht="45" customHeight="1">
      <x:c r="A17" s="7" t="str">
        <x:v>Толщина опорной плиты</x:v>
      </x:c>
      <x:c r="B17" s="8" t="n">
        <x:v>8</x:v>
      </x:c>
      <x:c r="C17" s="7" t="str">
        <x:v>мм</x:v>
      </x:c>
      <x:c r="D17" s="7" t="str">
        <x:v>Заготовка модели, изгиб плиты не рассчитан</x:v>
      </x:c>
    </x:row>
    <x:row r="18" ht="45" customHeight="1">
      <x:c r="A18" s="7" t="str">
        <x:v>Расстояние между стойками</x:v>
      </x:c>
      <x:c r="B18" s="8" t="n">
        <x:v>600</x:v>
      </x:c>
      <x:c r="C18" s="7" t="str">
        <x:v>мм</x:v>
      </x:c>
      <x:c r="D18" s="7" t="str">
        <x:v>Проектный вариант</x:v>
      </x:c>
    </x:row>
    <x:row r="19" ht="45" customHeight="1">
      <x:c r="A19" s="7" t="str">
        <x:v>Длина верхней балки</x:v>
      </x:c>
      <x:c r="B19" s="8" t="n">
        <x:v>700</x:v>
      </x:c>
      <x:c r="C19" s="7" t="str">
        <x:v>мм</x:v>
      </x:c>
      <x:c r="D19" s="7" t="str">
        <x:v>Проектный вариант</x:v>
      </x:c>
    </x:row>
    <x:row r="20" ht="45" customHeight="1">
      <x:c r="A20" s="7" t="str">
        <x:v>Размер плиты вдоль движения</x:v>
      </x:c>
      <x:c r="B20" s="8" t="n">
        <x:v>120</x:v>
      </x:c>
      <x:c r="C20" s="7" t="str">
        <x:v>мм</x:v>
      </x:c>
      <x:c r="D20" s="7" t="str">
        <x:v>Геометрическая заготовка</x:v>
      </x:c>
    </x:row>
    <x:row r="21" ht="45" customHeight="1">
      <x:c r="A21" s="7" t="str">
        <x:v>Поперечный размер плиты</x:v>
      </x:c>
      <x:c r="B21" s="8" t="n">
        <x:v>150</x:v>
      </x:c>
      <x:c r="C21" s="7" t="str">
        <x:v>мм</x:v>
      </x:c>
      <x:c r="D21" s="7" t="str">
        <x:v>Геометрическая заготовка</x:v>
      </x:c>
    </x:row>
    <x:row r="22" ht="45" customHeight="1">
      <x:c r="A22" s="7" t="str">
        <x:v>K в формуле Эйлера</x:v>
      </x:c>
      <x:c r="B22" s="8" t="n">
        <x:v>2</x:v>
      </x:c>
      <x:c r="C22" s="7" t="str">
        <x:v>—</x:v>
      </x:c>
      <x:c r="D22" s="7" t="str">
        <x:v>Отдельная идеальная стойка, не расчёт устойчивости портала</x:v>
      </x:c>
    </x:row>
    <x:row r="23" ht="45" customHeight="1">
      <x:c r="A23" s="7" t="str">
        <x:v>Уклон для максимальной стойки</x:v>
      </x:c>
      <x:c r="B23" s="8" t="n">
        <x:v>2</x:v>
      </x:c>
      <x:c r="C23" s="7" t="str">
        <x:v>град</x:v>
      </x:c>
      <x:c r="D23" s="7" t="str">
        <x:v>Верхняя граница ориентировочного диапазона</x:v>
      </x:c>
    </x:row>
    <x:row r="24" ht="45" customHeight="1">
      <x:c r="A24" s="7" t="str">
        <x:v>Масса прочих узлов</x:v>
      </x:c>
      <x:c r="B24" s="8"/>
      <x:c r="C24" s="7" t="str">
        <x:v>кг/м</x:v>
      </x:c>
      <x:c r="D24" s="7" t="str">
        <x:v>Пусто: расчёт частичный, лента/ролики/барабаны и прочие узлы исключены</x:v>
      </x:c>
    </x:row>
    <x:row r="25" ht="32" customHeight="1">
      <x:c r="A25" s="2"/>
      <x:c r="B25" s="2"/>
      <x:c r="C25" s="2"/>
      <x:c r="D25" s="2"/>
    </x:row>
    <x:row r="26" ht="32" customHeight="1">
      <x:c r="A26" s="2"/>
      <x:c r="B26" s="2"/>
      <x:c r="C26" s="2"/>
      <x:c r="D2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23" hidden="0" customWidth="1"/>
    <x:col min="5" max="5" width="14" hidden="0" customWidth="1"/>
    <x:col min="6" max="6" width="68" hidden="0" customWidth="1"/>
  </x:cols>
  <x:sheetData>
    <x:row r="1" ht="32" customHeight="1">
      <x:c r="A1" s="2"/>
      <x:c r="B1" s="2"/>
      <x:c r="C1" s="2"/>
      <x:c r="D1" s="2"/>
      <x:c r="E1" s="2"/>
      <x:c r="F1" s="2"/>
    </x:row>
    <x:row r="2" ht="32" customHeight="1">
      <x:c r="A2" s="3" t="str">
        <x:v>Расчётная геометрия труб со скруглениями</x:v>
      </x:c>
      <x:c r="B2" s="2"/>
      <x:c r="C2" s="2"/>
      <x:c r="D2" s="2"/>
      <x:c r="E2" s="2"/>
      <x:c r="F2" s="2"/>
    </x:row>
    <x:row r="3" ht="32" customHeight="1">
      <x:c r="A3" s="2"/>
      <x:c r="B3" s="2"/>
      <x:c r="C3" s="2"/>
      <x:c r="D3" s="2"/>
      <x:c r="E3" s="2"/>
      <x:c r="F3" s="2"/>
    </x:row>
    <x:row r="4" ht="32" customHeight="1">
      <x:c r="A4" s="2"/>
      <x:c r="B4" s="2"/>
      <x:c r="C4" s="2"/>
      <x:c r="D4" s="2"/>
      <x:c r="E4" s="2"/>
      <x:c r="F4" s="2"/>
    </x:row>
    <x:row r="5" ht="43" customHeight="1">
      <x:c r="A5" s="6" t="str">
        <x:v>Показатель</x:v>
      </x:c>
      <x:c r="B5" s="6" t="str">
        <x:v>Рельс</x:v>
      </x:c>
      <x:c r="C5" s="6" t="str">
        <x:v>Поперечина</x:v>
      </x:c>
      <x:c r="D5" s="6" t="str">
        <x:v>Стойка</x:v>
      </x:c>
      <x:c r="E5" s="6" t="str">
        <x:v>Единица</x:v>
      </x:c>
      <x:c r="F5" s="6" t="str">
        <x:v>Смысл</x:v>
      </x:c>
    </x:row>
    <x:row r="6" ht="39" customHeight="1">
      <x:c r="A6" s="7" t="str">
        <x:v>Обозначение</x:v>
      </x:c>
      <x:c r="B6" s="7" t="str">
        <x:f>B7&amp;"×"&amp;B8&amp;"×"&amp;B9</x:f>
        <x:v>100×50×3</x:v>
      </x:c>
      <x:c r="C6" s="7" t="str">
        <x:f>C7&amp;"×"&amp;C8&amp;"×"&amp;C9</x:f>
        <x:v>80×100×4</x:v>
      </x:c>
      <x:c r="D6" s="7" t="str">
        <x:f>D7&amp;"×"&amp;D8&amp;"×"&amp;D9</x:f>
        <x:v>50×50×3</x:v>
      </x:c>
      <x:c r="E6" s="7" t="str">
        <x:v>—</x:v>
      </x:c>
      <x:c r="F6" s="7" t="str">
        <x:v>Номинальная геометрия</x:v>
      </x:c>
    </x:row>
    <x:row r="7" ht="39" customHeight="1">
      <x:c r="A7" s="7" t="str">
        <x:v>Высота h</x:v>
      </x:c>
      <x:c r="B7" s="8" t="n">
        <x:v>100</x:v>
      </x:c>
      <x:c r="C7" s="8" t="n">
        <x:v>80</x:v>
      </x:c>
      <x:c r="D7" s="8" t="n">
        <x:v>50</x:v>
      </x:c>
      <x:c r="E7" s="7" t="str">
        <x:v>мм</x:v>
      </x:c>
      <x:c r="F7" s="7" t="str">
        <x:v>Вертикальный размер поперечины / сечения рельса</x:v>
      </x:c>
    </x:row>
    <x:row r="8" ht="39" customHeight="1">
      <x:c r="A8" s="7" t="str">
        <x:v>Ширина b</x:v>
      </x:c>
      <x:c r="B8" s="8" t="n">
        <x:v>50</x:v>
      </x:c>
      <x:c r="C8" s="8" t="n">
        <x:v>100</x:v>
      </x:c>
      <x:c r="D8" s="8" t="n">
        <x:v>50</x:v>
      </x:c>
      <x:c r="E8" s="7" t="str">
        <x:v>мм</x:v>
      </x:c>
      <x:c r="F8" s="7" t="str">
        <x:v>Для поперечины — размер вдоль транспортёра</x:v>
      </x:c>
    </x:row>
    <x:row r="9" ht="39" customHeight="1">
      <x:c r="A9" s="7" t="str">
        <x:v>Толщина t</x:v>
      </x:c>
      <x:c r="B9" s="8" t="n">
        <x:v>3</x:v>
      </x:c>
      <x:c r="C9" s="8" t="n">
        <x:v>4</x:v>
      </x:c>
      <x:c r="D9" s="8" t="n">
        <x:v>3</x:v>
      </x:c>
      <x:c r="E9" s="7" t="str">
        <x:v>мм</x:v>
      </x:c>
      <x:c r="F9" s="7" t="str">
        <x:v>Не проверена по фактической поставке</x:v>
      </x:c>
    </x:row>
    <x:row r="10" ht="39" customHeight="1">
      <x:c r="A10" s="7" t="str">
        <x:v>r / t</x:v>
      </x:c>
      <x:c r="B10" s="8" t="n">
        <x:v>2</x:v>
      </x:c>
      <x:c r="C10" s="8" t="n">
        <x:v>2</x:v>
      </x:c>
      <x:c r="D10" s="8" t="n">
        <x:v>2</x:v>
      </x:c>
      <x:c r="E10" s="7" t="str">
        <x:v>—</x:v>
      </x:c>
      <x:c r="F10" s="7" t="str">
        <x:v>Наружный радиус 2t; не нормативный допуск</x:v>
      </x:c>
    </x:row>
    <x:row r="11" ht="39" customHeight="1">
      <x:c r="A11" s="7" t="str">
        <x:v>Наружный радиус</x:v>
      </x:c>
      <x:c r="B11" s="11" t="n">
        <x:f>B9*B10</x:f>
        <x:v>6</x:v>
      </x:c>
      <x:c r="C11" s="11" t="n">
        <x:f>C9*C10</x:f>
        <x:v>8</x:v>
      </x:c>
      <x:c r="D11" s="11" t="n">
        <x:f>D9*D10</x:f>
        <x:v>6</x:v>
      </x:c>
      <x:c r="E11" s="7" t="str">
        <x:v>мм</x:v>
      </x:c>
      <x:c r="F11" s="7" t="str">
        <x:v>r = 2t</x:v>
      </x:c>
    </x:row>
    <x:row r="12" ht="39" customHeight="1">
      <x:c r="A12" s="7" t="str">
        <x:v>Внутренний радиус</x:v>
      </x:c>
      <x:c r="B12" s="11" t="n">
        <x:f>B11-B9</x:f>
        <x:v>3</x:v>
      </x:c>
      <x:c r="C12" s="11" t="n">
        <x:f>C11-C9</x:f>
        <x:v>4</x:v>
      </x:c>
      <x:c r="D12" s="11" t="n">
        <x:f>D11-D9</x:f>
        <x:v>3</x:v>
      </x:c>
      <x:c r="E12" s="7" t="str">
        <x:v>мм</x:v>
      </x:c>
      <x:c r="F12" s="7" t="str">
        <x:v>r − t</x:v>
      </x:c>
    </x:row>
    <x:row r="13" ht="39" customHeight="1">
      <x:c r="A13" s="7" t="str">
        <x:v>Площадь наружная</x:v>
      </x:c>
      <x:c r="B13" s="11" t="n">
        <x:f>B8*B7-(4-PI())*B11^2</x:f>
        <x:v>4969.097335529233</x:v>
      </x:c>
      <x:c r="C13" s="11" t="n">
        <x:f>C8*C7-(4-PI())*C11^2</x:f>
        <x:v>7945.061929829747</x:v>
      </x:c>
      <x:c r="D13" s="11" t="n">
        <x:f>D8*D7-(4-PI())*D11^2</x:f>
        <x:v>2469.0973355292326</x:v>
      </x:c>
      <x:c r="E13" s="7" t="str">
        <x:v>мм²</x:v>
      </x:c>
      <x:c r="F13" s="7" t="str">
        <x:v>Скруглённый прямоугольник</x:v>
      </x:c>
    </x:row>
    <x:row r="14" ht="39" customHeight="1">
      <x:c r="A14" s="7" t="str">
        <x:v>Площадь внутренняя</x:v>
      </x:c>
      <x:c r="B14" s="11" t="n">
        <x:f>(B8-2*B9)*(B7-2*B9)-(4-PI())*B12^2</x:f>
        <x:v>4128.274333882308</x:v>
      </x:c>
      <x:c r="C14" s="11" t="n">
        <x:f>(C8-2*C9)*(C7-2*C9)-(4-PI())*C12^2</x:f>
        <x:v>6610.2654824574365</x:v>
      </x:c>
      <x:c r="D14" s="11" t="n">
        <x:f>(D8-2*D9)*(D7-2*D9)-(4-PI())*D12^2</x:f>
        <x:v>1928.2743338823082</x:v>
      </x:c>
      <x:c r="E14" s="7" t="str">
        <x:v>мм²</x:v>
      </x:c>
      <x:c r="F14" s="7" t="str">
        <x:v>Пустота</x:v>
      </x:c>
    </x:row>
    <x:row r="15" ht="39" customHeight="1">
      <x:c r="A15" s="7" t="str">
        <x:v>Площадь металла</x:v>
      </x:c>
      <x:c r="B15" s="11" t="n">
        <x:f>B13-B14</x:f>
        <x:v>840.8230016469242</x:v>
      </x:c>
      <x:c r="C15" s="11" t="n">
        <x:f>C13-C14</x:f>
        <x:v>1334.7964473723105</x:v>
      </x:c>
      <x:c r="D15" s="11" t="n">
        <x:f>D13-D14</x:f>
        <x:v>540.8230016469245</x:v>
      </x:c>
      <x:c r="E15" s="7" t="str">
        <x:v>мм²</x:v>
      </x:c>
      <x:c r="F15" s="7" t="str">
        <x:v>Разность</x:v>
      </x:c>
    </x:row>
    <x:row r="16" ht="39" customHeight="1">
      <x:c r="A16" s="7" t="str">
        <x:v>I наружный</x:v>
      </x:c>
      <x:c r="B16" s="11" t="n">
        <x:f>(B8*B7^3/12-4*((B7/2-B11)^2*(1-PI()/4)*B11^2+(B7/2-B11)*B11^3/3+B11^4*(1/3-PI()/16)))</x:f>
        <x:v>4093456.984271024</x:v>
      </x:c>
      <x:c r="C16" s="11" t="n">
        <x:f>(C8*C7^3/12-4*((C7/2-C11)^2*(1-PI()/4)*C11^2+(C7/2-C11)*C11^3/3+C11^4*(1/3-PI()/16)))</x:f>
        <x:v>4186320.4070229367</x:v>
      </x:c>
      <x:c r="D16" s="11" t="n">
        <x:f>(D8*D7^3/12-4*((D7/2-D11)^2*(1-PI()/4)*D11^2+(D7/2-D11)*D11^3/3+D11^4*(1/3-PI()/16)))</x:f>
        <x:v>503495.34747914935</x:v>
      </x:c>
      <x:c r="E16" s="7" t="str">
        <x:v>мм⁴</x:v>
      </x:c>
      <x:c r="F16" s="7" t="str">
        <x:v>Вертикальный изгиб</x:v>
      </x:c>
    </x:row>
    <x:row r="17" ht="39" customHeight="1">
      <x:c r="A17" s="7" t="str">
        <x:v>I пустоты</x:v>
      </x:c>
      <x:c r="B17" s="11" t="n">
        <x:f>((B8-2*B9)*(B7-2*B9)^3/12-4*(((B7-2*B9)/2-B12)^2*(1-PI()/4)*B12^2+((B7-2*B9)/2-B12)*B12^3/3+B12^4*(1/3-PI()/16)))</x:f>
        <x:v>3028889.39431405</x:v>
      </x:c>
      <x:c r="C17" s="11" t="n">
        <x:f>((C8-2*C9)*(C7-2*C9)^3/12-4*(((C7-2*C9)/2-C12)^2*(1-PI()/4)*C12^2+((C7-2*C9)/2-C12)*C12^3/3+C12^4*(1/3-PI()/16)))</x:f>
        <x:v>2844632.915966245</x:v>
      </x:c>
      <x:c r="D17" s="11" t="n">
        <x:f>((D8-2*D9)*(D7-2*D9)^3/12-4*(((D7-2*D9)/2-D12)^2*(1-PI()/4)*D12^2+((D7-2*D9)/2-D12)*D12^3/3+D12^4*(1/3-PI()/16)))</x:f>
        <x:v>308823.9851160817</x:v>
      </x:c>
      <x:c r="E17" s="7" t="str">
        <x:v>мм⁴</x:v>
      </x:c>
      <x:c r="F17" s="7" t="str">
        <x:v>Вычитаемый момент</x:v>
      </x:c>
    </x:row>
    <x:row r="18" ht="39" customHeight="1">
      <x:c r="A18" s="7" t="str">
        <x:v>I вертикальный</x:v>
      </x:c>
      <x:c r="B18" s="11" t="n">
        <x:f>B16-B17</x:f>
        <x:v>1064567.5899569737</x:v>
      </x:c>
      <x:c r="C18" s="11" t="n">
        <x:f>C16-C17</x:f>
        <x:v>1341687.4910566919</x:v>
      </x:c>
      <x:c r="D18" s="11" t="n">
        <x:f>D16-D17</x:f>
        <x:v>194671.36236306763</x:v>
      </x:c>
      <x:c r="E18" s="7" t="str">
        <x:v>мм⁴</x:v>
      </x:c>
      <x:c r="F18" s="7" t="str">
        <x:v>Разность</x:v>
      </x:c>
    </x:row>
    <x:row r="19" ht="39" customHeight="1">
      <x:c r="A19" s="7" t="str">
        <x:v>W вертикальный</x:v>
      </x:c>
      <x:c r="B19" s="11" t="n">
        <x:f>2*B18/B7</x:f>
        <x:v>21291.351799139473</x:v>
      </x:c>
      <x:c r="C19" s="11" t="n">
        <x:f>2*C18/C7</x:f>
        <x:v>33542.187276417295</x:v>
      </x:c>
      <x:c r="D19" s="11" t="n">
        <x:f>2*D18/D7</x:f>
        <x:v>7786.854494522705</x:v>
      </x:c>
      <x:c r="E19" s="7" t="str">
        <x:v>мм³</x:v>
      </x:c>
      <x:c r="F19" s="7" t="str">
        <x:v>2I/h</x:v>
      </x:c>
    </x:row>
    <x:row r="20" ht="39" customHeight="1">
      <x:c r="A20" s="7" t="str">
        <x:v>Погонная масса</x:v>
      </x:c>
      <x:c r="B20" s="11" t="n">
        <x:f>B15*'Параметры'!B7*10^-6</x:f>
        <x:v>6.600460562928355</x:v>
      </x:c>
      <x:c r="C20" s="11" t="n">
        <x:f>C15*'Параметры'!B7*10^-6</x:f>
        <x:v>10.478152111872637</x:v>
      </x:c>
      <x:c r="D20" s="11" t="n">
        <x:f>D15*'Параметры'!B7*10^-6</x:f>
        <x:v>4.245460562928357</x:v>
      </x:c>
      <x:c r="E20" s="7" t="str">
        <x:v>кг/м</x:v>
      </x:c>
      <x:c r="F20" s="7" t="str">
        <x:v>Площадь × плотность</x:v>
      </x:c>
    </x:row>
    <x:row r="21" ht="39" customHeight="1">
      <x:c r="A21" s="7" t="str">
        <x:v>I горизонтальный</x:v>
      </x:c>
      <x:c r="B21" s="11" t="n">
        <x:f>(B7*B8^3/12-4*((B8/2-B11)^2*(1-PI()/4)*B11^2+(B8/2-B11)*B11^3/3+B11^4*(1/3-PI()/16)))-((B7-2*B9)*(B8-2*B9)^3/12-4*(((B8-2*B9)/2-B12)^2*(1-PI()/4)*B12^2+((B8-2*B9)/2-B12)*B12^3/3+B12^4*(1/3-PI()/16)))</x:f>
        <x:v>360571.3623630677</x:v>
      </x:c>
      <x:c r="C21" s="11" t="n">
        <x:f>(C7*C8^3/12-4*((C8/2-C11)^2*(1-PI()/4)*C11^2+(C8/2-C11)*C11^3/3+C11^4*(1/3-PI()/16)))-((C7-2*C9)*(C8-2*C9)^3/12-4*(((C8-2*C9)/2-C12)^2*(1-PI()/4)*C12^2+((C8-2*C9)/2-C12)*C12^3/3+C12^4*(1/3-PI()/16)))</x:f>
        <x:v>1894663.5287788687</x:v>
      </x:c>
      <x:c r="D21" s="11" t="n">
        <x:f>(D7*D8^3/12-4*((D8/2-D11)^2*(1-PI()/4)*D11^2+(D8/2-D11)*D11^3/3+D11^4*(1/3-PI()/16)))-((D7-2*D9)*(D8-2*D9)^3/12-4*(((D8-2*D9)/2-D12)^2*(1-PI()/4)*D12^2+((D8-2*D9)/2-D12)*D12^3/3+D12^4*(1/3-PI()/16)))</x:f>
        <x:v>194671.36236306763</x:v>
      </x:c>
      <x:c r="E21" s="7" t="str">
        <x:v>мм⁴</x:v>
      </x:c>
      <x:c r="F21" s="7" t="str">
        <x:v>Смена h и b</x:v>
      </x:c>
    </x:row>
    <x:row r="22" ht="39" customHeight="1">
      <x:c r="A22" s="7" t="str">
        <x:v>I минимальный</x:v>
      </x:c>
      <x:c r="B22" s="11" t="n">
        <x:f>MIN(B18,B21)</x:f>
        <x:v>360571.3623630677</x:v>
      </x:c>
      <x:c r="C22" s="11" t="n">
        <x:f>MIN(C18,C21)</x:f>
        <x:v>1341687.4910566919</x:v>
      </x:c>
      <x:c r="D22" s="11" t="n">
        <x:f>MIN(D18,D21)</x:f>
        <x:v>194671.36236306763</x:v>
      </x:c>
      <x:c r="E22" s="7" t="str">
        <x:v>мм⁴</x:v>
      </x:c>
      <x:c r="F22" s="7" t="str">
        <x:v>Для отдельной стойки Эйлера</x:v>
      </x:c>
    </x:row>
    <x:row r="23" ht="32" customHeight="1">
      <x:c r="A23" s="2"/>
      <x:c r="B23" s="2"/>
      <x:c r="C23" s="2"/>
      <x:c r="D23" s="2"/>
      <x:c r="E23" s="2"/>
      <x:c r="F23" s="2"/>
    </x:row>
    <x:row r="24" ht="50" customHeight="1">
      <x:c r="A24" s="7" t="str">
        <x:v>Сечения и свойства рассчитываются геометрически; это не паспорт выбранного Ст3. Изменение ячеек Excel не изменяет геометрию фиксированной CAD-модели.</x:v>
      </x:c>
      <x:c r="B24" s="7"/>
      <x:c r="C24" s="7"/>
      <x:c r="D24" s="7"/>
      <x:c r="E24" s="7"/>
      <x:c r="F24" s="7"/>
    </x:row>
    <x:row r="25" ht="32" customHeight="1">
      <x:c r="A25" s="2"/>
      <x:c r="B25" s="2"/>
      <x:c r="C25" s="2"/>
      <x:c r="D25" s="2"/>
      <x:c r="E25" s="2"/>
      <x:c r="F25" s="2"/>
    </x:row>
    <x:row r="26" ht="32" customHeight="1">
      <x:c r="A26" s="2"/>
      <x:c r="B26" s="2"/>
      <x:c r="C26" s="2"/>
      <x:c r="D26" s="2"/>
      <x:c r="E26" s="2"/>
      <x:c r="F26" s="2"/>
    </x:row>
    <x:row r="27" ht="32" customHeight="1">
      <x:c r="A27" s="2"/>
      <x:c r="B27" s="2"/>
      <x:c r="C27" s="2"/>
      <x:c r="D27" s="2"/>
      <x:c r="E27" s="2"/>
      <x:c r="F27" s="2"/>
    </x:row>
  </x:sheetData>
  <x:mergeCells>
    <x:mergeCell ref="A24:F24"/>
  </x:mergeCells>
  <x:pageMargins left="0.7" right="0.7" top="0.75" bottom="0.75" header="0.3" footer="0.3"/>
</x:worksheet>
</file>