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fdce6c1ca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алки" sheetId="1" r:id="Redc8602744714c68"/>
    <x:sheet xmlns:r="http://schemas.openxmlformats.org/officeDocument/2006/relationships" name="Профили" sheetId="2" r:id="Rc5ab1e09e36b4deb"/>
    <x:sheet xmlns:r="http://schemas.openxmlformats.org/officeDocument/2006/relationships" name="Параметры" sheetId="3" r:id="R75a4fd1c21664d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1"/>
      <x:color rgb="FF202A33"/>
      <x:name val="Arial"/>
    </x:font>
    <x:font>
      <x:b/>
      <x:sz val="15"/>
      <x:color rgb="FF202A3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C52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6907234d74eb7" /><Relationship Type="http://schemas.openxmlformats.org/officeDocument/2006/relationships/theme" Target="/xl/theme/theme1.xml" Id="Rc9f3667f3d264093" /><Relationship Type="http://schemas.openxmlformats.org/officeDocument/2006/relationships/sharedStrings" Target="/xl/sharedStrings.xml" Id="R5f57fd5f94f54dc2" /><Relationship Type="http://schemas.openxmlformats.org/officeDocument/2006/relationships/worksheet" Target="/xl/worksheets/sheet1.xml" Id="Redc8602744714c68" /><Relationship Type="http://schemas.openxmlformats.org/officeDocument/2006/relationships/worksheet" Target="/xl/worksheets/sheet2.xml" Id="Rc5ab1e09e36b4deb" /><Relationship Type="http://schemas.openxmlformats.org/officeDocument/2006/relationships/worksheet" Target="/xl/worksheets/sheet3.xml" Id="R75a4fd1c21664d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2" hidden="0" customWidth="1"/>
    <x:col min="4" max="4" width="23" hidden="0" customWidth="1"/>
    <x:col min="5" max="5" width="24" hidden="0" customWidth="1"/>
    <x:col min="6" max="6" width="22" hidden="0" customWidth="1"/>
    <x:col min="7" max="7" width="24" hidden="0" customWidth="1"/>
    <x:col min="8" max="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Вертикальный изгиб балок с собственным весом R03</x:v>
      </x:c>
      <x:c r="B2" s="2"/>
      <x:c r="C2" s="2"/>
      <x:c r="D2" s="2"/>
      <x:c r="E2" s="2"/>
      <x:c r="F2" s="2"/>
      <x:c r="G2" s="2"/>
      <x:c r="H2" s="2"/>
    </x:row>
    <x:row r="3" ht="55" customHeight="1">
      <x:c r="A3" s="7" t="str">
        <x:v>Частичный расчёт. Σ=q+вес балки+15 кг в середине: условная комбинация. Совместность q и местных 15 кг не подтверждена; собственные массы остальных узлов пока исключены.</x:v>
      </x:c>
      <x:c r="B3" s="7"/>
      <x:c r="C3" s="7"/>
      <x:c r="D3" s="7"/>
      <x:c r="E3" s="7"/>
      <x:c r="F3" s="7"/>
      <x:c r="G3" s="7"/>
      <x:c r="H3" s="7"/>
    </x:row>
    <x:row r="4" ht="30" customHeight="1">
      <x:c r="A4" s="2"/>
      <x:c r="B4" s="2"/>
      <x:c r="C4" s="2"/>
      <x:c r="D4" s="2"/>
      <x:c r="E4" s="2"/>
      <x:c r="F4" s="2"/>
      <x:c r="G4" s="2"/>
      <x:c r="H4" s="2"/>
    </x:row>
    <x:row r="5" ht="38" customHeight="1">
      <x:c r="A5" s="6" t="str">
        <x:v>Труба h×b×t</x:v>
      </x:c>
      <x:c r="B5" s="6" t="str">
        <x:v>Пролёт, м</x:v>
      </x:c>
      <x:c r="C5" s="6" t="str">
        <x:v>Доля q, β</x:v>
      </x:c>
      <x:c r="D5" s="6" t="str">
        <x:v>w, Н/м</x:v>
      </x:c>
      <x:c r="E5" s="6" t="str">
        <x:v>M суммы, Н·м</x:v>
      </x:c>
      <x:c r="F5" s="6" t="str">
        <x:v>σ суммы, МПа</x:v>
      </x:c>
      <x:c r="G5" s="6" t="str">
        <x:v>δ суммы, мм</x:v>
      </x:c>
      <x:c r="H5" s="6" t="str">
        <x:v>Остаток по δ, кг/м</x:v>
      </x:c>
    </x:row>
    <x:row r="6" ht="34" customHeight="1">
      <x:c r="A6" s="2" t="str">
        <x:f>'Профили'!B6</x:f>
        <x:v>80×40×3</x:v>
      </x:c>
      <x:c r="B6" s="12" t="n">
        <x:v>2</x:v>
      </x:c>
      <x:c r="C6" s="12" t="n">
        <x:v>0.5</x:v>
      </x:c>
      <x:c r="D6" s="11" t="n">
        <x:f>(C6*'Параметры'!B9+'Профили'!B20+IF(ISBLANK('Параметры'!B12),0,'Параметры'!B12))*'Параметры'!B8</x:f>
        <x:v>197.97136012944136</x:v>
      </x:c>
      <x:c r="E6" s="11" t="n">
        <x:f>D6*B6^2/8+'Параметры'!B10*'Параметры'!B8*B6/4</x:f>
        <x:v>172.53555506472068</x:v>
      </x:c>
      <x:c r="F6" s="11" t="n">
        <x:f>E6*1000/'Профили'!B19</x:f>
        <x:v>13.208320752368055</x:v>
      </x:c>
      <x:c r="G6" s="11" t="n">
        <x:f>IF(OR(ISBLANK('Параметры'!B6),'Параметры'!B6&lt;=0),"нет E",(5*D6*B6^4/384+'Параметры'!B10*'Параметры'!B8*B6^3/48)*10^9/('Параметры'!B6*'Профили'!B18))</x:f>
        <x:v>0.6292817936742948</x:v>
      </x:c>
      <x:c r="H6" s="11" t="n">
        <x:f>IF(OR(ISBLANK('Параметры'!B11),NOT(ISNUMBER(G6))),"не задано",MAX(0,('Параметры'!B11-G6)*'Параметры'!B6*'Профили'!B18/10^9*384/(5*B6^4)/'Параметры'!B8))</x:f>
        <x:v>70.11157585123497</x:v>
      </x:c>
    </x:row>
    <x:row r="7" ht="34" customHeight="1">
      <x:c r="A7" s="2" t="str">
        <x:f>'Профили'!B6</x:f>
        <x:v>80×40×3</x:v>
      </x:c>
      <x:c r="B7" s="12" t="n">
        <x:v>2</x:v>
      </x:c>
      <x:c r="C7" s="12" t="n">
        <x:v>1</x:v>
      </x:c>
      <x:c r="D7" s="11" t="n">
        <x:f>(C7*'Параметры'!B9+'Профили'!B20+IF(ISBLANK('Параметры'!B12),0,'Параметры'!B12))*'Параметры'!B8</x:f>
        <x:v>345.07111012944137</x:v>
      </x:c>
      <x:c r="E7" s="11" t="n">
        <x:f>D7*B7^2/8+'Параметры'!B10*'Параметры'!B8*B7/4</x:f>
        <x:v>246.0854300647207</x:v>
      </x:c>
      <x:c r="F7" s="11" t="n">
        <x:f>E7*1000/'Профили'!B19</x:f>
        <x:v>18.838872321476018</x:v>
      </x:c>
      <x:c r="G7" s="11" t="n">
        <x:f>IF(OR(ISBLANK('Параметры'!B6),'Параметры'!B6&lt;=0),"нет E",(5*D7*B7^4/384+'Параметры'!B10*'Параметры'!B8*B7^3/48)*10^9/('Параметры'!B6*'Профили'!B18))</x:f>
        <x:v>0.922539687898668</x:v>
      </x:c>
      <x:c r="H7" s="11" t="n">
        <x:f>IF(OR(ISBLANK('Параметры'!B11),NOT(ISNUMBER(G7))),"не задано",MAX(0,('Параметры'!B11-G7)*'Параметры'!B6*'Профили'!B18/10^9*384/(5*B7^4)/'Параметры'!B8))</x:f>
        <x:v>55.11157585123498</x:v>
      </x:c>
    </x:row>
    <x:row r="8" ht="34" customHeight="1">
      <x:c r="A8" s="2" t="str">
        <x:f>'Профили'!B6</x:f>
        <x:v>80×40×3</x:v>
      </x:c>
      <x:c r="B8" s="12" t="n">
        <x:v>2.5</x:v>
      </x:c>
      <x:c r="C8" s="12" t="n">
        <x:v>0.5</x:v>
      </x:c>
      <x:c r="D8" s="11" t="n">
        <x:f>(C8*'Параметры'!B9+'Профили'!B20+IF(ISBLANK('Параметры'!B12),0,'Параметры'!B12))*'Параметры'!B8</x:f>
        <x:v>197.97136012944136</x:v>
      </x:c>
      <x:c r="E8" s="11" t="n">
        <x:f>D8*B8^2/8+'Параметры'!B10*'Параметры'!B8*B8/4</x:f>
        <x:v>246.60246885112608</x:v>
      </x:c>
      <x:c r="F8" s="11" t="n">
        <x:f>E8*1000/'Профили'!B19</x:f>
        <x:v>18.878453810228848</x:v>
      </x:c>
      <x:c r="G8" s="11" t="n">
        <x:f>IF(OR(ISBLANK('Параметры'!B6),'Параметры'!B6&lt;=0),"нет E",(5*D8*B8^4/384+'Параметры'!B10*'Параметры'!B8*B8^3/48)*10^9/('Параметры'!B6*'Профили'!B18))</x:f>
        <x:v>1.4217786391562384</x:v>
      </x:c>
      <x:c r="H8" s="11" t="n">
        <x:f>IF(OR(ISBLANK('Параметры'!B11),NOT(ISNUMBER(G8))),"не задано",MAX(0,('Параметры'!B11-G8)*'Параметры'!B6*'Профили'!B18/10^9*384/(5*B8^4)/'Параметры'!B8))</x:f>
        <x:v>12.114224752312946</x:v>
      </x:c>
    </x:row>
    <x:row r="9" ht="34" customHeight="1">
      <x:c r="A9" s="2" t="str">
        <x:f>'Профили'!B6</x:f>
        <x:v>80×40×3</x:v>
      </x:c>
      <x:c r="B9" s="12" t="n">
        <x:v>2.5</x:v>
      </x:c>
      <x:c r="C9" s="12" t="n">
        <x:v>1</x:v>
      </x:c>
      <x:c r="D9" s="11" t="n">
        <x:f>(C9*'Параметры'!B9+'Профили'!B20+IF(ISBLANK('Параметры'!B12),0,'Параметры'!B12))*'Параметры'!B8</x:f>
        <x:v>345.07111012944137</x:v>
      </x:c>
      <x:c r="E9" s="11" t="n">
        <x:f>D9*B9^2/8+'Параметры'!B10*'Параметры'!B8*B9/4</x:f>
        <x:v>361.52414853862604</x:v>
      </x:c>
      <x:c r="F9" s="11" t="n">
        <x:f>E9*1000/'Профили'!B19</x:f>
        <x:v>27.676190636960037</x:v>
      </x:c>
      <x:c r="G9" s="11" t="n">
        <x:f>IF(OR(ISBLANK('Параметры'!B6),'Параметры'!B6&lt;=0),"нет E",(5*D9*B9^4/384+'Параметры'!B10*'Параметры'!B8*B9^3/48)*10^9/('Параметры'!B6*'Профили'!B18))</x:f>
        <x:v>2.137740294977462</x:v>
      </x:c>
      <x:c r="H9" s="11" t="n">
        <x:f>IF(OR(ISBLANK('Параметры'!B11),NOT(ISNUMBER(G9))),"не задано",MAX(0,('Параметры'!B11-G9)*'Параметры'!B6*'Профили'!B18/10^9*384/(5*B9^4)/'Параметры'!B8))</x:f>
        <x:v>0</x:v>
      </x:c>
    </x:row>
    <x:row r="10" ht="34" customHeight="1">
      <x:c r="A10" s="2" t="str">
        <x:f>'Профили'!B6</x:f>
        <x:v>80×40×3</x:v>
      </x:c>
      <x:c r="B10" s="12" t="n">
        <x:v>3.3333333333333335</x:v>
      </x:c>
      <x:c r="C10" s="12" t="n">
        <x:v>0.5</x:v>
      </x:c>
      <x:c r="D10" s="11" t="n">
        <x:f>(C10*'Параметры'!B9+'Профили'!B20+IF(ISBLANK('Параметры'!B12),0,'Параметры'!B12))*'Параметры'!B8</x:f>
        <x:v>197.97136012944136</x:v>
      </x:c>
      <x:c r="E10" s="11" t="n">
        <x:f>D10*B10^2/8+'Параметры'!B10*'Параметры'!B8*B10/4</x:f>
        <x:v>397.5433474020019</x:v>
      </x:c>
      <x:c r="F10" s="11" t="n">
        <x:f>E10*1000/'Профили'!B19</x:f>
        <x:v>30.433611457569082</x:v>
      </x:c>
      <x:c r="G10" s="11" t="n">
        <x:f>IF(OR(ISBLANK('Параметры'!B6),'Параметры'!B6&lt;=0),"нет E",(5*D10*B10^4/384+'Параметры'!B10*'Параметры'!B8*B10^3/48)*10^9/('Параметры'!B6*'Профили'!B18))</x:f>
        <x:v>4.131475829648886</x:v>
      </x:c>
      <x:c r="H10" s="11" t="n">
        <x:f>IF(OR(ISBLANK('Параметры'!B11),NOT(ISNUMBER(G10))),"не задано",MAX(0,('Параметры'!B11-G10)*'Параметры'!B6*'Профили'!B18/10^9*384/(5*B10^4)/'Параметры'!B8))</x:f>
        <x:v>0</x:v>
      </x:c>
    </x:row>
    <x:row r="11" ht="34" customHeight="1">
      <x:c r="A11" s="2" t="str">
        <x:f>'Профили'!B6</x:f>
        <x:v>80×40×3</x:v>
      </x:c>
      <x:c r="B11" s="12" t="n">
        <x:v>3.3333333333333335</x:v>
      </x:c>
      <x:c r="C11" s="12" t="n">
        <x:v>1</x:v>
      </x:c>
      <x:c r="D11" s="11" t="n">
        <x:f>(C11*'Параметры'!B9+'Профили'!B20+IF(ISBLANK('Параметры'!B12),0,'Параметры'!B12))*'Параметры'!B8</x:f>
        <x:v>345.07111012944137</x:v>
      </x:c>
      <x:c r="E11" s="11" t="n">
        <x:f>D11*B11^2/8+'Параметры'!B10*'Параметры'!B8*B11/4</x:f>
        <x:v>601.8485557353354</x:v>
      </x:c>
      <x:c r="F11" s="11" t="n">
        <x:f>E11*1000/'Профили'!B19</x:f>
        <x:v>46.07403248286899</x:v>
      </x:c>
      <x:c r="G11" s="11" t="n">
        <x:f>IF(OR(ISBLANK('Параметры'!B6),'Параметры'!B6&lt;=0),"нет E",(5*D11*B11^4/384+'Параметры'!B10*'Параметры'!B8*B11^3/48)*10^9/('Параметры'!B6*'Профили'!B18))</x:f>
        <x:v>6.394268223355469</x:v>
      </x:c>
      <x:c r="H11" s="11" t="n">
        <x:f>IF(OR(ISBLANK('Параметры'!B11),NOT(ISNUMBER(G11))),"не задано",MAX(0,('Параметры'!B11-G11)*'Параметры'!B6*'Профили'!B18/10^9*384/(5*B11^4)/'Параметры'!B8))</x:f>
        <x:v>0</x:v>
      </x:c>
    </x:row>
    <x:row r="12" ht="34" customHeight="1">
      <x:c r="A12" s="2" t="str">
        <x:f>'Профили'!B6</x:f>
        <x:v>80×40×3</x:v>
      </x:c>
      <x:c r="B12" s="12" t="n">
        <x:v>5</x:v>
      </x:c>
      <x:c r="C12" s="12" t="n">
        <x:v>0.5</x:v>
      </x:c>
      <x:c r="D12" s="11" t="n">
        <x:f>(C12*'Параметры'!B9+'Профили'!B20+IF(ISBLANK('Параметры'!B12),0,'Параметры'!B12))*'Параметры'!B8</x:f>
        <x:v>197.97136012944136</x:v>
      </x:c>
      <x:c r="E12" s="11" t="n">
        <x:f>D12*B12^2/8+'Параметры'!B10*'Параметры'!B8*B12/4</x:f>
        <x:v>802.5351879045043</x:v>
      </x:c>
      <x:c r="F12" s="11" t="n">
        <x:f>E12*1000/'Профили'!B19</x:f>
        <x:v>61.43743631814548</x:v>
      </x:c>
      <x:c r="G12" s="11" t="n">
        <x:f>IF(OR(ISBLANK('Параметры'!B6),'Параметры'!B6&lt;=0),"нет E",(5*D12*B12^4/384+'Параметры'!B10*'Параметры'!B8*B12^3/48)*10^9/('Параметры'!B6*'Профили'!B18))</x:f>
        <x:v>19.082734548695147</x:v>
      </x:c>
      <x:c r="H12" s="11" t="n">
        <x:f>IF(OR(ISBLANK('Параметры'!B11),NOT(ISNUMBER(G12))),"не задано",MAX(0,('Параметры'!B11-G12)*'Параметры'!B6*'Профили'!B18/10^9*384/(5*B12^4)/'Параметры'!B8))</x:f>
        <x:v>0</x:v>
      </x:c>
    </x:row>
    <x:row r="13" ht="34" customHeight="1">
      <x:c r="A13" s="2" t="str">
        <x:f>'Профили'!B6</x:f>
        <x:v>80×40×3</x:v>
      </x:c>
      <x:c r="B13" s="12" t="n">
        <x:v>5</x:v>
      </x:c>
      <x:c r="C13" s="12" t="n">
        <x:v>1</x:v>
      </x:c>
      <x:c r="D13" s="11" t="n">
        <x:f>(C13*'Параметры'!B9+'Профили'!B20+IF(ISBLANK('Параметры'!B12),0,'Параметры'!B12))*'Параметры'!B8</x:f>
        <x:v>345.07111012944137</x:v>
      </x:c>
      <x:c r="E13" s="11" t="n">
        <x:f>D13*B13^2/8+'Параметры'!B10*'Параметры'!B8*B13/4</x:f>
        <x:v>1262.2219066545042</x:v>
      </x:c>
      <x:c r="F13" s="11" t="n">
        <x:f>E13*1000/'Профили'!B19</x:f>
        <x:v>96.62838362507024</x:v>
      </x:c>
      <x:c r="G13" s="11" t="n">
        <x:f>IF(OR(ISBLANK('Параметры'!B6),'Параметры'!B6&lt;=0),"нет E",(5*D13*B13^4/384+'Параметры'!B10*'Параметры'!B8*B13^3/48)*10^9/('Параметры'!B6*'Профили'!B18))</x:f>
        <x:v>30.538121041834728</x:v>
      </x:c>
      <x:c r="H13" s="11" t="n">
        <x:f>IF(OR(ISBLANK('Параметры'!B11),NOT(ISNUMBER(G13))),"не задано",MAX(0,('Параметры'!B11-G13)*'Параметры'!B6*'Профили'!B18/10^9*384/(5*B13^4)/'Параметры'!B8))</x:f>
        <x:v>0</x:v>
      </x:c>
    </x:row>
    <x:row r="14" ht="34" customHeight="1">
      <x:c r="A14" s="2" t="str">
        <x:f>'Профили'!C6</x:f>
        <x:v>100×50×3</x:v>
      </x:c>
      <x:c r="B14" s="12" t="n">
        <x:v>2</x:v>
      </x:c>
      <x:c r="C14" s="12" t="n">
        <x:v>0.5</x:v>
      </x:c>
      <x:c r="D14" s="11" t="n">
        <x:f>(C14*'Параметры'!B9+'Профили'!C20+IF(ISBLANK('Параметры'!B12),0,'Параметры'!B12))*'Параметры'!B8</x:f>
        <x:v>211.82815657944133</x:v>
      </x:c>
      <x:c r="E14" s="11" t="n">
        <x:f>D14*B14^2/8+'Параметры'!B10*'Параметры'!B8*B14/4</x:f>
        <x:v>179.46395328972068</x:v>
      </x:c>
      <x:c r="F14" s="11" t="n">
        <x:f>E14*1000/'Профили'!C19</x:f>
        <x:v>8.42896002953528</x:v>
      </x:c>
      <x:c r="G14" s="11" t="n">
        <x:f>IF(OR(ISBLANK('Параметры'!B6),'Параметры'!B6&lt;=0),"нет E",(5*D14*B14^4/384+'Параметры'!B10*'Параметры'!B8*B14^3/48)*10^9/('Параметры'!B6*'Профили'!C18))</x:f>
        <x:v>0.32241959834990275</x:v>
      </x:c>
      <x:c r="H14" s="11" t="n">
        <x:f>IF(OR(ISBLANK('Параметры'!B11),NOT(ISNUMBER(G14))),"не задано",MAX(0,('Параметры'!B11-G14)*'Параметры'!B6*'Профили'!C18/10^9*384/(5*B14^4)/'Параметры'!B8))</x:f>
        <x:v>174.82645104474497</x:v>
      </x:c>
    </x:row>
    <x:row r="15" ht="34" customHeight="1">
      <x:c r="A15" s="2" t="str">
        <x:f>'Профили'!C6</x:f>
        <x:v>100×50×3</x:v>
      </x:c>
      <x:c r="B15" s="12" t="n">
        <x:v>2</x:v>
      </x:c>
      <x:c r="C15" s="12" t="n">
        <x:v>1</x:v>
      </x:c>
      <x:c r="D15" s="11" t="n">
        <x:f>(C15*'Параметры'!B9+'Профили'!C20+IF(ISBLANK('Параметры'!B12),0,'Параметры'!B12))*'Параметры'!B8</x:f>
        <x:v>358.92790657944136</x:v>
      </x:c>
      <x:c r="E15" s="11" t="n">
        <x:f>D15*B15^2/8+'Параметры'!B10*'Параметры'!B8*B15/4</x:f>
        <x:v>253.01382828972066</x:v>
      </x:c>
      <x:c r="F15" s="11" t="n">
        <x:f>E15*1000/'Профили'!C19</x:f>
        <x:v>11.883408375223347</x:v>
      </x:c>
      <x:c r="G15" s="11" t="n">
        <x:f>IF(OR(ISBLANK('Параметры'!B6),'Параметры'!B6&lt;=0),"нет E",(5*D15*B15^4/384+'Параметры'!B10*'Параметры'!B8*B15^3/48)*10^9/('Параметры'!B6*'Профили'!C18))</x:f>
        <x:v>0.4663549460869055</x:v>
      </x:c>
      <x:c r="H15" s="11" t="n">
        <x:f>IF(OR(ISBLANK('Параметры'!B11),NOT(ISNUMBER(G15))),"не задано",MAX(0,('Параметры'!B11-G15)*'Параметры'!B6*'Профили'!C18/10^9*384/(5*B15^4)/'Параметры'!B8))</x:f>
        <x:v>159.82645104474494</x:v>
      </x:c>
    </x:row>
    <x:row r="16" ht="34" customHeight="1">
      <x:c r="A16" s="2" t="str">
        <x:f>'Профили'!C6</x:f>
        <x:v>100×50×3</x:v>
      </x:c>
      <x:c r="B16" s="12" t="n">
        <x:v>2.5</x:v>
      </x:c>
      <x:c r="C16" s="12" t="n">
        <x:v>0.5</x:v>
      </x:c>
      <x:c r="D16" s="11" t="n">
        <x:f>(C16*'Параметры'!B9+'Профили'!C20+IF(ISBLANK('Параметры'!B12),0,'Параметры'!B12))*'Параметры'!B8</x:f>
        <x:v>211.82815657944133</x:v>
      </x:c>
      <x:c r="E16" s="11" t="n">
        <x:f>D16*B16^2/8+'Параметры'!B10*'Параметры'!B8*B16/4</x:f>
        <x:v>257.4280910776885</x:v>
      </x:c>
      <x:c r="F16" s="11" t="n">
        <x:f>E16*1000/'Профили'!C19</x:f>
        <x:v>12.090734938121352</x:v>
      </x:c>
      <x:c r="G16" s="11" t="n">
        <x:f>IF(OR(ISBLANK('Параметры'!B6),'Параметры'!B6&lt;=0),"нет E",(5*D16*B16^4/384+'Параметры'!B10*'Параметры'!B8*B16^3/48)*10^9/('Параметры'!B6*'Профили'!C18))</x:f>
        <x:v>0.7309324773241755</x:v>
      </x:c>
      <x:c r="H16" s="11" t="n">
        <x:f>IF(OR(ISBLANK('Параметры'!B11),NOT(ISNUMBER(G16))),"не задано",MAX(0,('Параметры'!B11-G16)*'Параметры'!B6*'Профили'!C18/10^9*384/(5*B16^4)/'Параметры'!B8))</x:f>
        <x:v>54.171202431574635</x:v>
      </x:c>
    </x:row>
    <x:row r="17" ht="34" customHeight="1">
      <x:c r="A17" s="2" t="str">
        <x:f>'Профили'!C6</x:f>
        <x:v>100×50×3</x:v>
      </x:c>
      <x:c r="B17" s="12" t="n">
        <x:v>2.5</x:v>
      </x:c>
      <x:c r="C17" s="12" t="n">
        <x:v>1</x:v>
      </x:c>
      <x:c r="D17" s="11" t="n">
        <x:f>(C17*'Параметры'!B9+'Профили'!C20+IF(ISBLANK('Параметры'!B12),0,'Параметры'!B12))*'Параметры'!B8</x:f>
        <x:v>358.92790657944136</x:v>
      </x:c>
      <x:c r="E17" s="11" t="n">
        <x:f>D17*B17^2/8+'Параметры'!B10*'Параметры'!B8*B17/4</x:f>
        <x:v>372.3497707651885</x:v>
      </x:c>
      <x:c r="F17" s="11" t="n">
        <x:f>E17*1000/'Профили'!C19</x:f>
        <x:v>17.488310478258956</x:v>
      </x:c>
      <x:c r="G17" s="11" t="n">
        <x:f>IF(OR(ISBLANK('Параметры'!B6),'Параметры'!B6&lt;=0),"нет E",(5*D17*B17^4/384+'Параметры'!B10*'Параметры'!B8*B17^3/48)*10^9/('Параметры'!B6*'Профили'!C18))</x:f>
        <x:v>1.0823371348852175</x:v>
      </x:c>
      <x:c r="H17" s="11" t="n">
        <x:f>IF(OR(ISBLANK('Параметры'!B11),NOT(ISNUMBER(G17))),"не задано",MAX(0,('Параметры'!B11-G17)*'Параметры'!B6*'Профили'!C18/10^9*384/(5*B17^4)/'Параметры'!B8))</x:f>
        <x:v>39.17120243157464</x:v>
      </x:c>
    </x:row>
    <x:row r="18" ht="34" customHeight="1">
      <x:c r="A18" s="2" t="str">
        <x:f>'Профили'!C6</x:f>
        <x:v>100×50×3</x:v>
      </x:c>
      <x:c r="B18" s="12" t="n">
        <x:v>3.3333333333333335</x:v>
      </x:c>
      <x:c r="C18" s="12" t="n">
        <x:v>0.5</x:v>
      </x:c>
      <x:c r="D18" s="11" t="n">
        <x:f>(C18*'Параметры'!B9+'Профили'!C20+IF(ISBLANK('Параметры'!B12),0,'Параметры'!B12))*'Параметры'!B8</x:f>
        <x:v>211.82815657944133</x:v>
      </x:c>
      <x:c r="E18" s="11" t="n">
        <x:f>D18*B18^2/8+'Параметры'!B10*'Параметры'!B8*B18/4</x:f>
        <x:v>416.7888980270019</x:v>
      </x:c>
      <x:c r="F18" s="11" t="n">
        <x:f>E18*1000/'Профили'!C19</x:f>
        <x:v>19.575501920166815</x:v>
      </x:c>
      <x:c r="G18" s="11" t="n">
        <x:f>IF(OR(ISBLANK('Параметры'!B6),'Параметры'!B6&lt;=0),"нет E",(5*D18*B18^4/384+'Параметры'!B10*'Параметры'!B8*B18^3/48)*10^9/('Параметры'!B6*'Профили'!C18))</x:f>
        <x:v>2.1324096224850453</x:v>
      </x:c>
      <x:c r="H18" s="11" t="n">
        <x:f>IF(OR(ISBLANK('Параметры'!B11),NOT(ISNUMBER(G18))),"не задано",MAX(0,('Параметры'!B11-G18)*'Параметры'!B6*'Профили'!C18/10^9*384/(5*B18^4)/'Параметры'!B8))</x:f>
        <x:v>0</x:v>
      </x:c>
    </x:row>
    <x:row r="19" ht="34" customHeight="1">
      <x:c r="A19" s="2" t="str">
        <x:f>'Профили'!C6</x:f>
        <x:v>100×50×3</x:v>
      </x:c>
      <x:c r="B19" s="12" t="n">
        <x:v>3.3333333333333335</x:v>
      </x:c>
      <x:c r="C19" s="12" t="n">
        <x:v>1</x:v>
      </x:c>
      <x:c r="D19" s="11" t="n">
        <x:f>(C19*'Параметры'!B9+'Профили'!C20+IF(ISBLANK('Параметры'!B12),0,'Параметры'!B12))*'Параметры'!B8</x:f>
        <x:v>358.92790657944136</x:v>
      </x:c>
      <x:c r="E19" s="11" t="n">
        <x:f>D19*B19^2/8+'Параметры'!B10*'Параметры'!B8*B19/4</x:f>
        <x:v>621.0941063603353</x:v>
      </x:c>
      <x:c r="F19" s="11" t="n">
        <x:f>E19*1000/'Профили'!C19</x:f>
        <x:v>29.17119176930034</x:v>
      </x:c>
      <x:c r="G19" s="11" t="n">
        <x:f>IF(OR(ISBLANK('Параметры'!B6),'Параметры'!B6&lt;=0),"нет E",(5*D19*B19^4/384+'Параметры'!B10*'Параметры'!B8*B19^3/48)*10^9/('Параметры'!B6*'Профили'!C18))</x:f>
        <x:v>3.2430218735421663</x:v>
      </x:c>
      <x:c r="H19" s="11" t="n">
        <x:f>IF(OR(ISBLANK('Параметры'!B11),NOT(ISNUMBER(G19))),"не задано",MAX(0,('Параметры'!B11-G19)*'Параметры'!B6*'Профили'!C18/10^9*384/(5*B19^4)/'Параметры'!B8))</x:f>
        <x:v>0</x:v>
      </x:c>
    </x:row>
    <x:row r="20" ht="34" customHeight="1">
      <x:c r="A20" s="2" t="str">
        <x:f>'Профили'!C6</x:f>
        <x:v>100×50×3</x:v>
      </x:c>
      <x:c r="B20" s="12" t="n">
        <x:v>5</x:v>
      </x:c>
      <x:c r="C20" s="12" t="n">
        <x:v>0.5</x:v>
      </x:c>
      <x:c r="D20" s="11" t="n">
        <x:f>(C20*'Параметры'!B9+'Профили'!C20+IF(ISBLANK('Параметры'!B12),0,'Параметры'!B12))*'Параметры'!B8</x:f>
        <x:v>211.82815657944133</x:v>
      </x:c>
      <x:c r="E20" s="11" t="n">
        <x:f>D20*B20^2/8+'Параметры'!B10*'Параметры'!B8*B20/4</x:f>
        <x:v>845.8376768107541</x:v>
      </x:c>
      <x:c r="F20" s="11" t="n">
        <x:f>E20*1000/'Профили'!C19</x:f>
        <x:v>39.72681888826524</x:v>
      </x:c>
      <x:c r="G20" s="11" t="n">
        <x:f>IF(OR(ISBLANK('Параметры'!B6),'Параметры'!B6&lt;=0),"нет E",(5*D20*B20^4/384+'Параметры'!B10*'Параметры'!B8*B20^3/48)*10^9/('Параметры'!B6*'Профили'!C18))</x:f>
        <x:v>9.895727790474274</x:v>
      </x:c>
      <x:c r="H20" s="11" t="n">
        <x:f>IF(OR(ISBLANK('Параметры'!B11),NOT(ISNUMBER(G20))),"не задано",MAX(0,('Параметры'!B11-G20)*'Параметры'!B6*'Профили'!C18/10^9*384/(5*B20^4)/'Параметры'!B8))</x:f>
        <x:v>0</x:v>
      </x:c>
    </x:row>
    <x:row r="21" ht="34" customHeight="1">
      <x:c r="A21" s="2" t="str">
        <x:f>'Профили'!C6</x:f>
        <x:v>100×50×3</x:v>
      </x:c>
      <x:c r="B21" s="12" t="n">
        <x:v>5</x:v>
      </x:c>
      <x:c r="C21" s="12" t="n">
        <x:v>1</x:v>
      </x:c>
      <x:c r="D21" s="11" t="n">
        <x:f>(C21*'Параметры'!B9+'Профили'!C20+IF(ISBLANK('Параметры'!B12),0,'Параметры'!B12))*'Параметры'!B8</x:f>
        <x:v>358.92790657944136</x:v>
      </x:c>
      <x:c r="E21" s="11" t="n">
        <x:f>D21*B21^2/8+'Параметры'!B10*'Параметры'!B8*B21/4</x:f>
        <x:v>1305.524395560754</x:v>
      </x:c>
      <x:c r="F21" s="11" t="n">
        <x:f>E21*1000/'Профили'!C19</x:f>
        <x:v>61.31712104881565</x:v>
      </x:c>
      <x:c r="G21" s="11" t="n">
        <x:f>IF(OR(ISBLANK('Параметры'!B6),'Параметры'!B6&lt;=0),"нет E",(5*D21*B21^4/384+'Параметры'!B10*'Параметры'!B8*B21^3/48)*10^9/('Параметры'!B6*'Профили'!C18))</x:f>
        <x:v>15.518202311450946</x:v>
      </x:c>
      <x:c r="H21" s="11" t="n">
        <x:f>IF(OR(ISBLANK('Параметры'!B11),NOT(ISNUMBER(G21))),"не задано",MAX(0,('Параметры'!B11-G21)*'Параметры'!B6*'Профили'!C18/10^9*384/(5*B21^4)/'Параметры'!B8))</x:f>
        <x:v>0</x:v>
      </x:c>
    </x:row>
    <x:row r="22" ht="34" customHeight="1">
      <x:c r="A22" s="2" t="str">
        <x:f>'Профили'!D6</x:f>
        <x:v>120×60×4</x:v>
      </x:c>
      <x:c r="B22" s="12" t="n">
        <x:v>2</x:v>
      </x:c>
      <x:c r="C22" s="12" t="n">
        <x:v>0.5</x:v>
      </x:c>
      <x:c r="D22" s="11" t="n">
        <x:f>(C22*'Параметры'!B9+'Профили'!D20+IF(ISBLANK('Параметры'!B12),0,'Параметры'!B12))*'Параметры'!B8</x:f>
        <x:v>249.8553204078958</x:v>
      </x:c>
      <x:c r="E22" s="11" t="n">
        <x:f>D22*B22^2/8+'Параметры'!B10*'Параметры'!B8*B22/4</x:f>
        <x:v>198.4775352039479</x:v>
      </x:c>
      <x:c r="F22" s="11" t="n">
        <x:f>E22*1000/'Профили'!D19</x:f>
        <x:v>4.946688448687224</x:v>
      </x:c>
      <x:c r="G22" s="11" t="n">
        <x:f>IF(OR(ISBLANK('Параметры'!B6),'Параметры'!B6&lt;=0),"нет E",(5*D22*B22^4/384+'Параметры'!B10*'Параметры'!B8*B22^3/48)*10^9/('Параметры'!B6*'Профили'!D18))</x:f>
        <x:v>0.15903018430366825</x:v>
      </x:c>
      <x:c r="H22" s="11" t="n">
        <x:f>IF(OR(ISBLANK('Параметры'!B11),NOT(ISNUMBER(G22))),"не задано",MAX(0,('Параметры'!B11-G22)*'Параметры'!B6*'Профили'!D18/10^9*384/(5*B22^4)/'Параметры'!B8))</x:f>
        <x:v>433.8556676403334</x:v>
      </x:c>
    </x:row>
    <x:row r="23" ht="34" customHeight="1">
      <x:c r="A23" s="2" t="str">
        <x:f>'Профили'!D6</x:f>
        <x:v>120×60×4</x:v>
      </x:c>
      <x:c r="B23" s="12" t="n">
        <x:v>2</x:v>
      </x:c>
      <x:c r="C23" s="12" t="n">
        <x:v>1</x:v>
      </x:c>
      <x:c r="D23" s="11" t="n">
        <x:f>(C23*'Параметры'!B9+'Профили'!D20+IF(ISBLANK('Параметры'!B12),0,'Параметры'!B12))*'Параметры'!B8</x:f>
        <x:v>396.9550704078958</x:v>
      </x:c>
      <x:c r="E23" s="11" t="n">
        <x:f>D23*B23^2/8+'Параметры'!B10*'Параметры'!B8*B23/4</x:f>
        <x:v>272.0274102039479</x:v>
      </x:c>
      <x:c r="F23" s="11" t="n">
        <x:f>E23*1000/'Профили'!D19</x:f>
        <x:v>6.77978415239512</x:v>
      </x:c>
      <x:c r="G23" s="11" t="n">
        <x:f>IF(OR(ISBLANK('Параметры'!B6),'Параметры'!B6&lt;=0),"нет E",(5*D23*B23^4/384+'Параметры'!B10*'Параметры'!B8*B23^3/48)*10^9/('Параметры'!B6*'Профили'!D18))</x:f>
        <x:v>0.22267934068241457</x:v>
      </x:c>
      <x:c r="H23" s="11" t="n">
        <x:f>IF(OR(ISBLANK('Параметры'!B11),NOT(ISNUMBER(G23))),"не задано",MAX(0,('Параметры'!B11-G23)*'Параметры'!B6*'Профили'!D18/10^9*384/(5*B23^4)/'Параметры'!B8))</x:f>
        <x:v>418.8556676403335</x:v>
      </x:c>
    </x:row>
    <x:row r="24" ht="34" customHeight="1">
      <x:c r="A24" s="2" t="str">
        <x:f>'Профили'!D6</x:f>
        <x:v>120×60×4</x:v>
      </x:c>
      <x:c r="B24" s="12" t="n">
        <x:v>2.5</x:v>
      </x:c>
      <x:c r="C24" s="12" t="n">
        <x:v>0.5</x:v>
      </x:c>
      <x:c r="D24" s="11" t="n">
        <x:f>(C24*'Параметры'!B9+'Профили'!D20+IF(ISBLANK('Параметры'!B12),0,'Параметры'!B12))*'Параметры'!B8</x:f>
        <x:v>249.8553204078958</x:v>
      </x:c>
      <x:c r="E24" s="11" t="n">
        <x:f>D24*B24^2/8+'Параметры'!B10*'Параметры'!B8*B24/4</x:f>
        <x:v>287.13681281866855</x:v>
      </x:c>
      <x:c r="F24" s="11" t="n">
        <x:f>E24*1000/'Профили'!D19</x:f>
        <x:v>7.156358293665071</x:v>
      </x:c>
      <x:c r="G24" s="11" t="n">
        <x:f>IF(OR(ISBLANK('Параметры'!B6),'Параметры'!B6&lt;=0),"нет E",(5*D24*B24^4/384+'Параметры'!B10*'Параметры'!B8*B24^3/48)*10^9/('Параметры'!B6*'Профили'!D18))</x:f>
        <x:v>0.3633943341871798</x:v>
      </x:c>
      <x:c r="H24" s="11" t="n">
        <x:f>IF(OR(ISBLANK('Параметры'!B11),NOT(ISNUMBER(G24))),"не задано",MAX(0,('Параметры'!B11-G24)*'Параметры'!B6*'Профили'!D18/10^9*384/(5*B24^4)/'Параметры'!B8))</x:f>
        <x:v>157.98018045863097</x:v>
      </x:c>
    </x:row>
    <x:row r="25" ht="34" customHeight="1">
      <x:c r="A25" s="2" t="str">
        <x:f>'Профили'!D6</x:f>
        <x:v>120×60×4</x:v>
      </x:c>
      <x:c r="B25" s="12" t="n">
        <x:v>2.5</x:v>
      </x:c>
      <x:c r="C25" s="12" t="n">
        <x:v>1</x:v>
      </x:c>
      <x:c r="D25" s="11" t="n">
        <x:f>(C25*'Параметры'!B9+'Профили'!D20+IF(ISBLANK('Параметры'!B12),0,'Параметры'!B12))*'Параметры'!B8</x:f>
        <x:v>396.9550704078958</x:v>
      </x:c>
      <x:c r="E25" s="11" t="n">
        <x:f>D25*B25^2/8+'Параметры'!B10*'Параметры'!B8*B25/4</x:f>
        <x:v>402.0584925061686</x:v>
      </x:c>
      <x:c r="F25" s="11" t="n">
        <x:f>E25*1000/'Профили'!D19</x:f>
        <x:v>10.020570330708658</x:v>
      </x:c>
      <x:c r="G25" s="11" t="n">
        <x:f>IF(OR(ISBLANK('Параметры'!B6),'Параметры'!B6&lt;=0),"нет E",(5*D25*B25^4/384+'Параметры'!B10*'Параметры'!B8*B25^3/48)*10^9/('Параметры'!B6*'Профили'!D18))</x:f>
        <x:v>0.5187877823774785</x:v>
      </x:c>
      <x:c r="H25" s="11" t="n">
        <x:f>IF(OR(ISBLANK('Параметры'!B11),NOT(ISNUMBER(G25))),"не задано",MAX(0,('Параметры'!B11-G25)*'Параметры'!B6*'Профили'!D18/10^9*384/(5*B25^4)/'Параметры'!B8))</x:f>
        <x:v>142.980180458631</x:v>
      </x:c>
    </x:row>
    <x:row r="26" ht="34" customHeight="1">
      <x:c r="A26" s="2" t="str">
        <x:f>'Профили'!D6</x:f>
        <x:v>120×60×4</x:v>
      </x:c>
      <x:c r="B26" s="12" t="n">
        <x:v>3.3333333333333335</x:v>
      </x:c>
      <x:c r="C26" s="12" t="n">
        <x:v>0.5</x:v>
      </x:c>
      <x:c r="D26" s="11" t="n">
        <x:f>(C26*'Параметры'!B9+'Профили'!D20+IF(ISBLANK('Параметры'!B12),0,'Параметры'!B12))*'Параметры'!B8</x:f>
        <x:v>249.8553204078958</x:v>
      </x:c>
      <x:c r="E26" s="11" t="n">
        <x:f>D26*B26^2/8+'Параметры'!B10*'Параметры'!B8*B26/4</x:f>
        <x:v>469.6044033442997</x:v>
      </x:c>
      <x:c r="F26" s="11" t="n">
        <x:f>E26*1000/'Профили'!D19</x:f>
        <x:v>11.70402824223352</x:v>
      </x:c>
      <x:c r="G26" s="11" t="n">
        <x:f>IF(OR(ISBLANK('Параметры'!B6),'Параметры'!B6&lt;=0),"нет E",(5*D26*B26^4/384+'Параметры'!B10*'Параметры'!B8*B26^3/48)*10^9/('Параметры'!B6*'Профили'!D18))</x:f>
        <x:v>1.06992634461782</x:v>
      </x:c>
      <x:c r="H26" s="11" t="n">
        <x:f>IF(OR(ISBLANK('Параметры'!B11),NOT(ISNUMBER(G26))),"не задано",MAX(0,('Параметры'!B11-G26)*'Параметры'!B6*'Профили'!D18/10^9*384/(5*B26^4)/'Параметры'!B8))</x:f>
        <x:v>28.40671092801325</x:v>
      </x:c>
    </x:row>
    <x:row r="27" ht="34" customHeight="1">
      <x:c r="A27" s="2" t="str">
        <x:f>'Профили'!D6</x:f>
        <x:v>120×60×4</x:v>
      </x:c>
      <x:c r="B27" s="12" t="n">
        <x:v>3.3333333333333335</x:v>
      </x:c>
      <x:c r="C27" s="12" t="n">
        <x:v>1</x:v>
      </x:c>
      <x:c r="D27" s="11" t="n">
        <x:f>(C27*'Параметры'!B9+'Профили'!D20+IF(ISBLANK('Параметры'!B12),0,'Параметры'!B12))*'Параметры'!B8</x:f>
        <x:v>396.9550704078958</x:v>
      </x:c>
      <x:c r="E27" s="11" t="n">
        <x:f>D27*B27^2/8+'Параметры'!B10*'Параметры'!B8*B27/4</x:f>
        <x:v>673.909611677633</x:v>
      </x:c>
      <x:c r="F27" s="11" t="n">
        <x:f>E27*1000/'Профили'!D19</x:f>
        <x:v>16.795960752533226</x:v>
      </x:c>
      <x:c r="G27" s="11" t="n">
        <x:f>IF(OR(ISBLANK('Параметры'!B6),'Параметры'!B6&lt;=0),"нет E",(5*D27*B27^4/384+'Параметры'!B10*'Параметры'!B8*B27^3/48)*10^9/('Параметры'!B6*'Профили'!D18))</x:f>
        <x:v>1.561046378404443</x:v>
      </x:c>
      <x:c r="H27" s="11" t="n">
        <x:f>IF(OR(ISBLANK('Параметры'!B11),NOT(ISNUMBER(G27))),"не задано",MAX(0,('Параметры'!B11-G27)*'Параметры'!B6*'Профили'!D18/10^9*384/(5*B27^4)/'Параметры'!B8))</x:f>
        <x:v>13.406710928013249</x:v>
      </x:c>
    </x:row>
    <x:row r="28" ht="34" customHeight="1">
      <x:c r="A28" s="2" t="str">
        <x:f>'Профили'!D6</x:f>
        <x:v>120×60×4</x:v>
      </x:c>
      <x:c r="B28" s="12" t="n">
        <x:v>5</x:v>
      </x:c>
      <x:c r="C28" s="12" t="n">
        <x:v>0.5</x:v>
      </x:c>
      <x:c r="D28" s="11" t="n">
        <x:f>(C28*'Параметры'!B9+'Профили'!D20+IF(ISBLANK('Параметры'!B12),0,'Параметры'!B12))*'Параметры'!B8</x:f>
        <x:v>249.8553204078958</x:v>
      </x:c>
      <x:c r="E28" s="11" t="n">
        <x:f>D28*B28^2/8+'Параметры'!B10*'Параметры'!B8*B28/4</x:f>
        <x:v>964.6725637746742</x:v>
      </x:c>
      <x:c r="F28" s="11" t="n">
        <x:f>E28*1000/'Профили'!D19</x:f>
        <x:v>24.042693915390547</x:v>
      </x:c>
      <x:c r="G28" s="11" t="n">
        <x:f>IF(OR(ISBLANK('Параметры'!B6),'Параметры'!B6&lt;=0),"нет E",(5*D28*B28^4/384+'Параметры'!B10*'Параметры'!B8*B28^3/48)*10^9/('Параметры'!B6*'Профили'!D18))</x:f>
        <x:v>5.018694892260548</x:v>
      </x:c>
      <x:c r="H28" s="11" t="n">
        <x:f>IF(OR(ISBLANK('Параметры'!B11),NOT(ISNUMBER(G28))),"не задано",MAX(0,('Параметры'!B11-G28)*'Параметры'!B6*'Профили'!D18/10^9*384/(5*B28^4)/'Параметры'!B8))</x:f>
        <x:v>0</x:v>
      </x:c>
    </x:row>
    <x:row r="29" ht="34" customHeight="1">
      <x:c r="A29" s="2" t="str">
        <x:f>'Профили'!D6</x:f>
        <x:v>120×60×4</x:v>
      </x:c>
      <x:c r="B29" s="12" t="n">
        <x:v>5</x:v>
      </x:c>
      <x:c r="C29" s="12" t="n">
        <x:v>1</x:v>
      </x:c>
      <x:c r="D29" s="11" t="n">
        <x:f>(C29*'Параметры'!B9+'Профили'!D20+IF(ISBLANK('Параметры'!B12),0,'Параметры'!B12))*'Параметры'!B8</x:f>
        <x:v>396.9550704078958</x:v>
      </x:c>
      <x:c r="E29" s="11" t="n">
        <x:f>D29*B29^2/8+'Параметры'!B10*'Параметры'!B8*B29/4</x:f>
        <x:v>1424.3592825246742</x:v>
      </x:c>
      <x:c r="F29" s="11" t="n">
        <x:f>E29*1000/'Профили'!D19</x:f>
        <x:v>35.49954206356489</x:v>
      </x:c>
      <x:c r="G29" s="11" t="n">
        <x:f>IF(OR(ISBLANK('Параметры'!B6),'Параметры'!B6&lt;=0),"нет E",(5*D29*B29^4/384+'Параметры'!B10*'Параметры'!B8*B29^3/48)*10^9/('Параметры'!B6*'Профили'!D18))</x:f>
        <x:v>7.504990063305326</x:v>
      </x:c>
      <x:c r="H29" s="11" t="n">
        <x:f>IF(OR(ISBLANK('Параметры'!B11),NOT(ISNUMBER(G29))),"не задано",MAX(0,('Параметры'!B11-G29)*'Параметры'!B6*'Профили'!D18/10^9*384/(5*B29^4)/'Параметры'!B8))</x:f>
        <x:v>0</x:v>
      </x:c>
    </x:row>
    <x:row r="30" ht="30" customHeight="1">
      <x:c r="A30" s="2"/>
      <x:c r="B30" s="2"/>
      <x:c r="C30" s="2"/>
      <x:c r="D30" s="2"/>
      <x:c r="E30" s="2"/>
      <x:c r="F30" s="2"/>
      <x:c r="G30" s="2"/>
      <x:c r="H30" s="2"/>
    </x:row>
    <x:row r="31" ht="45" customHeight="1">
      <x:c r="A31" s="7" t="str">
        <x:v>Остаток по δ — только возможная дополнительная равномерная масса при предлагаемом пределе 2 мм. Это не допустимая грузоподъёмность и не проверка полной прочности.</x:v>
      </x:c>
      <x:c r="B31" s="7"/>
      <x:c r="C31" s="7"/>
      <x:c r="D31" s="7"/>
      <x:c r="E31" s="7"/>
      <x:c r="F31" s="7"/>
      <x:c r="G31" s="7"/>
      <x:c r="H31" s="7"/>
    </x:row>
    <x:row r="32" ht="45" customHeight="1">
      <x:c r="A32" s="7" t="str">
        <x:v>Шарнирное опирание. Не включены натяжение, горизонтальный изгиб, кручение, устойчивость, стыки, стойки и основание. Коэффициенты динамики и допускаемое напряжение не назначены.</x:v>
      </x:c>
      <x:c r="B32" s="7"/>
      <x:c r="C32" s="7"/>
      <x:c r="D32" s="7"/>
      <x:c r="E32" s="7"/>
      <x:c r="F32" s="7"/>
      <x:c r="G32" s="7"/>
      <x:c r="H32" s="7"/>
    </x:row>
    <x:row r="33" ht="30" customHeight="1">
      <x:c r="A33" s="2"/>
      <x:c r="B33" s="2"/>
      <x:c r="C33" s="2"/>
      <x:c r="D33" s="2"/>
      <x:c r="E33" s="2"/>
      <x:c r="F33" s="2"/>
      <x:c r="G33" s="2"/>
      <x:c r="H33" s="2"/>
    </x:row>
  </x:sheetData>
  <x:mergeCells>
    <x:mergeCell ref="A2:H2"/>
    <x:mergeCell ref="A3:H3"/>
    <x:mergeCell ref="A31:H31"/>
    <x:mergeCell ref="A32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4" hidden="0" customWidth="1"/>
    <x:col min="3" max="3" width="24" hidden="0" customWidth="1"/>
    <x:col min="4" max="4" width="24" hidden="0" customWidth="1"/>
    <x:col min="5" max="5" width="13" hidden="0" customWidth="1"/>
    <x:col min="6" max="6" width="61" hidden="0" customWidth="1"/>
  </x:cols>
  <x:sheetData>
    <x:row r="1" ht="30" customHeight="1">
      <x:c r="A1" s="2"/>
      <x:c r="B1" s="2"/>
      <x:c r="C1" s="2"/>
      <x:c r="D1" s="2"/>
      <x:c r="E1" s="2"/>
      <x:c r="F1" s="2"/>
    </x:row>
    <x:row r="2" ht="30" customHeight="1">
      <x:c r="A2" s="3" t="str">
        <x:v>Геометрия скруглённых труб: расчётные кандидаты</x:v>
      </x:c>
      <x:c r="B2" s="2"/>
      <x:c r="C2" s="2"/>
      <x:c r="D2" s="2"/>
      <x:c r="E2" s="2"/>
      <x:c r="F2" s="2"/>
    </x:row>
    <x:row r="3" ht="30" customHeight="1">
      <x:c r="A3" s="2"/>
      <x:c r="B3" s="2"/>
      <x:c r="C3" s="2"/>
      <x:c r="D3" s="2"/>
      <x:c r="E3" s="2"/>
      <x:c r="F3" s="2"/>
    </x:row>
    <x:row r="4" ht="30" customHeight="1">
      <x:c r="A4" s="2"/>
      <x:c r="B4" s="2"/>
      <x:c r="C4" s="2"/>
      <x:c r="D4" s="2"/>
      <x:c r="E4" s="2"/>
      <x:c r="F4" s="2"/>
    </x:row>
    <x:row r="5" ht="38" customHeight="1">
      <x:c r="A5" s="6" t="str">
        <x:v>Показатель</x:v>
      </x:c>
      <x:c r="B5" s="6" t="str">
        <x:v>Кандидат A</x:v>
      </x:c>
      <x:c r="C5" s="6" t="str">
        <x:v>Кандидат B</x:v>
      </x:c>
      <x:c r="D5" s="6" t="str">
        <x:v>Кандидат C</x:v>
      </x:c>
      <x:c r="E5" s="6" t="str">
        <x:v>Единица</x:v>
      </x:c>
      <x:c r="F5" s="6" t="str">
        <x:v>Смысл</x:v>
      </x:c>
    </x:row>
    <x:row r="6" ht="40" customHeight="1">
      <x:c r="A6" s="7" t="str">
        <x:v>Обозначение</x:v>
      </x:c>
      <x:c r="B6" s="7" t="str">
        <x:f>B7&amp;"×"&amp;B8&amp;"×"&amp;B9</x:f>
        <x:v>80×40×3</x:v>
      </x:c>
      <x:c r="C6" s="7" t="str">
        <x:f>C7&amp;"×"&amp;C8&amp;"×"&amp;C9</x:f>
        <x:v>100×50×3</x:v>
      </x:c>
      <x:c r="D6" s="7" t="str">
        <x:f>D7&amp;"×"&amp;D8&amp;"×"&amp;D9</x:f>
        <x:v>120×60×4</x:v>
      </x:c>
      <x:c r="E6" s="7" t="str">
        <x:v>—</x:v>
      </x:c>
      <x:c r="F6" s="7" t="str">
        <x:v>Вычисляется из номинальных размеров</x:v>
      </x:c>
    </x:row>
    <x:row r="7" ht="40" customHeight="1">
      <x:c r="A7" s="7" t="str">
        <x:v>Высота h</x:v>
      </x:c>
      <x:c r="B7" s="8" t="n">
        <x:v>80</x:v>
      </x:c>
      <x:c r="C7" s="8" t="n">
        <x:v>100</x:v>
      </x:c>
      <x:c r="D7" s="8" t="n">
        <x:v>120</x:v>
      </x:c>
      <x:c r="E7" s="7" t="str">
        <x:v>мм</x:v>
      </x:c>
      <x:c r="F7" s="7" t="str">
        <x:v>Высота при вертикальном изгибе</x:v>
      </x:c>
    </x:row>
    <x:row r="8" ht="40" customHeight="1">
      <x:c r="A8" s="7" t="str">
        <x:v>Ширина b</x:v>
      </x:c>
      <x:c r="B8" s="8" t="n">
        <x:v>40</x:v>
      </x:c>
      <x:c r="C8" s="8" t="n">
        <x:v>50</x:v>
      </x:c>
      <x:c r="D8" s="8" t="n">
        <x:v>60</x:v>
      </x:c>
      <x:c r="E8" s="7" t="str">
        <x:v>мм</x:v>
      </x:c>
      <x:c r="F8" s="7" t="str">
        <x:v>Номинальное значение</x:v>
      </x:c>
    </x:row>
    <x:row r="9" ht="40" customHeight="1">
      <x:c r="A9" s="7" t="str">
        <x:v>Толщина t</x:v>
      </x:c>
      <x:c r="B9" s="8" t="n">
        <x:v>3</x:v>
      </x:c>
      <x:c r="C9" s="8" t="n">
        <x:v>3</x:v>
      </x:c>
      <x:c r="D9" s="8" t="n">
        <x:v>4</x:v>
      </x:c>
      <x:c r="E9" s="7" t="str">
        <x:v>мм</x:v>
      </x:c>
      <x:c r="F9" s="7" t="str">
        <x:v>Не учитывает фактическую толщину и коррозию</x:v>
      </x:c>
    </x:row>
    <x:row r="10" ht="40" customHeight="1">
      <x:c r="A10" s="7" t="str">
        <x:v>Наружный радиус / толщина</x:v>
      </x:c>
      <x:c r="B10" s="8" t="n">
        <x:v>2</x:v>
      </x:c>
      <x:c r="C10" s="8" t="n">
        <x:v>2</x:v>
      </x:c>
      <x:c r="D10" s="8" t="n">
        <x:v>2</x:v>
      </x:c>
      <x:c r="E10" s="7" t="str">
        <x:v>—</x:v>
      </x:c>
      <x:c r="F10" s="7" t="str">
        <x:v>Допущение геометрии; не нормативный допуск</x:v>
      </x:c>
    </x:row>
    <x:row r="11" ht="40" customHeight="1">
      <x:c r="A11" s="7" t="str">
        <x:v>Наружный радиус r</x:v>
      </x:c>
      <x:c r="B11" s="10" t="n">
        <x:f>B9*B10</x:f>
        <x:v>6</x:v>
      </x:c>
      <x:c r="C11" s="10" t="n">
        <x:f>C9*C10</x:f>
        <x:v>6</x:v>
      </x:c>
      <x:c r="D11" s="10" t="n">
        <x:f>D9*D10</x:f>
        <x:v>8</x:v>
      </x:c>
      <x:c r="E11" s="7" t="str">
        <x:v>мм</x:v>
      </x:c>
      <x:c r="F11" s="7" t="str">
        <x:v>r = коэффициент × t</x:v>
      </x:c>
    </x:row>
    <x:row r="12" ht="40" customHeight="1">
      <x:c r="A12" s="7" t="str">
        <x:v>Внутренний радиус</x:v>
      </x:c>
      <x:c r="B12" s="10" t="n">
        <x:f>B11-B9</x:f>
        <x:v>3</x:v>
      </x:c>
      <x:c r="C12" s="10" t="n">
        <x:f>C11-C9</x:f>
        <x:v>3</x:v>
      </x:c>
      <x:c r="D12" s="10" t="n">
        <x:f>D11-D9</x:f>
        <x:v>4</x:v>
      </x:c>
      <x:c r="E12" s="7" t="str">
        <x:v>мм</x:v>
      </x:c>
      <x:c r="F12" s="7" t="str">
        <x:v>r − t</x:v>
      </x:c>
    </x:row>
    <x:row r="13" ht="40" customHeight="1">
      <x:c r="A13" s="7" t="str">
        <x:v>Площадь наружного контура</x:v>
      </x:c>
      <x:c r="B13" s="10" t="n">
        <x:f>B8*B7-(4-PI())*B11^2</x:f>
        <x:v>3169.0973355292326</x:v>
      </x:c>
      <x:c r="C13" s="10" t="n">
        <x:f>C8*C7-(4-PI())*C11^2</x:f>
        <x:v>4969.097335529233</x:v>
      </x:c>
      <x:c r="D13" s="10" t="n">
        <x:f>D8*D7-(4-PI())*D11^2</x:f>
        <x:v>7145.061929829747</x:v>
      </x:c>
      <x:c r="E13" s="7" t="str">
        <x:v>мм²</x:v>
      </x:c>
      <x:c r="F13" s="7" t="str">
        <x:v>b·h − (4−π)r²</x:v>
      </x:c>
    </x:row>
    <x:row r="14" ht="40" customHeight="1">
      <x:c r="A14" s="7" t="str">
        <x:v>Площадь пустоты</x:v>
      </x:c>
      <x:c r="B14" s="10" t="n">
        <x:f>(B8-2*B9)*(B7-2*B9)-(4-PI())*B12^2</x:f>
        <x:v>2508.274333882308</x:v>
      </x:c>
      <x:c r="C14" s="10" t="n">
        <x:f>(C8-2*C9)*(C7-2*C9)-(4-PI())*C12^2</x:f>
        <x:v>4128.274333882308</x:v>
      </x:c>
      <x:c r="D14" s="10" t="n">
        <x:f>(D8-2*D9)*(D7-2*D9)-(4-PI())*D12^2</x:f>
        <x:v>5810.2654824574365</x:v>
      </x:c>
      <x:c r="E14" s="7" t="str">
        <x:v>мм²</x:v>
      </x:c>
      <x:c r="F14" s="7" t="str">
        <x:v>Скруглённый внутренний контур</x:v>
      </x:c>
    </x:row>
    <x:row r="15" ht="40" customHeight="1">
      <x:c r="A15" s="7" t="str">
        <x:v>Площадь металла A</x:v>
      </x:c>
      <x:c r="B15" s="10" t="n">
        <x:f>B13-B14</x:f>
        <x:v>660.8230016469247</x:v>
      </x:c>
      <x:c r="C15" s="10" t="n">
        <x:f>C13-C14</x:f>
        <x:v>840.8230016469242</x:v>
      </x:c>
      <x:c r="D15" s="10" t="n">
        <x:f>D13-D14</x:f>
        <x:v>1334.7964473723105</x:v>
      </x:c>
      <x:c r="E15" s="7" t="str">
        <x:v>мм²</x:v>
      </x:c>
      <x:c r="F15" s="7" t="str">
        <x:v>Разность площадей</x:v>
      </x:c>
    </x:row>
    <x:row r="16" ht="40" customHeight="1">
      <x:c r="A16" s="7" t="str">
        <x:v>I наружного контура</x:v>
      </x:c>
      <x:c r="B16" s="10" t="n">
        <x:f>(B8*B7^3/12-4*((B7/2-B11)^2*(1-PI()/4)*B11^2+(B7/2-B11)*B11^3/3+B11^4*(1/3-PI()/16)))</x:f>
        <x:v>1660441.0625582226</x:v>
      </x:c>
      <x:c r="C16" s="10" t="n">
        <x:f>(C8*C7^3/12-4*((C7/2-C11)^2*(1-PI()/4)*C11^2+(C7/2-C11)*C11^3/3+C11^4*(1/3-PI()/16)))</x:f>
        <x:v>4093456.984271024</x:v>
      </x:c>
      <x:c r="D16" s="10" t="n">
        <x:f>(D8*D7^3/12-4*((D7/2-D11)^2*(1-PI()/4)*D11^2+(D7/2-D11)*D11^3/3+D11^4*(1/3-PI()/16)))</x:f>
        <x:v>8453704.449136911</x:v>
      </x:c>
      <x:c r="E16" s="7" t="str">
        <x:v>мм⁴</x:v>
      </x:c>
      <x:c r="F16" s="7" t="str">
        <x:v>Интеграл y² dA со скруглениями</x:v>
      </x:c>
    </x:row>
    <x:row r="17" ht="40" customHeight="1">
      <x:c r="A17" s="7" t="str">
        <x:v>I внутренней пустоты</x:v>
      </x:c>
      <x:c r="B17" s="10" t="n">
        <x:f>((B8-2*B9)*(B7-2*B9)^3/12-4*(((B7-2*B9)/2-B12)^2*(1-PI()/4)*B12^2+((B7-2*B9)/2-B12)*B12^3/3+B12^4*(1/3-PI()/16)))</x:f>
        <x:v>1137935.4138858502</x:v>
      </x:c>
      <x:c r="C17" s="10" t="n">
        <x:f>((C8-2*C9)*(C7-2*C9)^3/12-4*(((C7-2*C9)/2-C12)^2*(1-PI()/4)*C12^2+((C7-2*C9)/2-C12)*C12^3/3+C12^4*(1/3-PI()/16)))</x:f>
        <x:v>3028889.39431405</x:v>
      </x:c>
      <x:c r="D17" s="10" t="n">
        <x:f>((D8-2*D9)*(D7-2*D9)^3/12-4*(((D7-2*D9)/2-D12)^2*(1-PI()/4)*D12^2+((D7-2*D9)/2-D12)*D12^3/3+D12^4*(1/3-PI()/16)))</x:f>
        <x:v>6046305.593161405</x:v>
      </x:c>
      <x:c r="E17" s="7" t="str">
        <x:v>мм⁴</x:v>
      </x:c>
      <x:c r="F17" s="7" t="str">
        <x:v>Вычитаемая часть</x:v>
      </x:c>
    </x:row>
    <x:row r="18" ht="40" customHeight="1">
      <x:c r="A18" s="7" t="str">
        <x:v>I вертикального изгиба</x:v>
      </x:c>
      <x:c r="B18" s="10" t="n">
        <x:f>B16-B17</x:f>
        <x:v>522505.64867237234</x:v>
      </x:c>
      <x:c r="C18" s="10" t="n">
        <x:f>C16-C17</x:f>
        <x:v>1064567.5899569737</x:v>
      </x:c>
      <x:c r="D18" s="10" t="n">
        <x:f>D16-D17</x:f>
        <x:v>2407398.855975506</x:v>
      </x:c>
      <x:c r="E18" s="7" t="str">
        <x:v>мм⁴</x:v>
      </x:c>
      <x:c r="F18" s="7" t="str">
        <x:v>Разность моментов инерции</x:v>
      </x:c>
    </x:row>
    <x:row r="19" ht="40" customHeight="1">
      <x:c r="A19" s="7" t="str">
        <x:v>Момент сопротивления W</x:v>
      </x:c>
      <x:c r="B19" s="10" t="n">
        <x:f>2*B18/B7</x:f>
        <x:v>13062.641216809308</x:v>
      </x:c>
      <x:c r="C19" s="10" t="n">
        <x:f>2*C18/C7</x:f>
        <x:v>21291.351799139473</x:v>
      </x:c>
      <x:c r="D19" s="10" t="n">
        <x:f>2*D18/D7</x:f>
        <x:v>40123.31426625843</x:v>
      </x:c>
      <x:c r="E19" s="7" t="str">
        <x:v>мм³</x:v>
      </x:c>
      <x:c r="F19" s="7" t="str">
        <x:v>2I/h</x:v>
      </x:c>
    </x:row>
    <x:row r="20" ht="40" customHeight="1">
      <x:c r="A20" s="7" t="str">
        <x:v>Погонная масса балки</x:v>
      </x:c>
      <x:c r="B20" s="10" t="n">
        <x:f>B15*'Параметры'!B7*10^-6</x:f>
        <x:v>5.187460562928359</x:v>
      </x:c>
      <x:c r="C20" s="10" t="n">
        <x:f>C15*'Параметры'!B7*10^-6</x:f>
        <x:v>6.600460562928355</x:v>
      </x:c>
      <x:c r="D20" s="10" t="n">
        <x:f>D15*'Параметры'!B7*10^-6</x:f>
        <x:v>10.478152111872637</x:v>
      </x:c>
      <x:c r="E20" s="7" t="str">
        <x:v>кг/м</x:v>
      </x:c>
      <x:c r="F20" s="7" t="str">
        <x:v>A × плотность × 10⁻⁶</x:v>
      </x:c>
    </x:row>
    <x:row r="21" ht="40" customHeight="1">
      <x:c r="A21" s="7" t="str">
        <x:v>Масса двух балок модуля</x:v>
      </x:c>
      <x:c r="B21" s="10" t="n">
        <x:f>2*B20*'Параметры'!B14</x:f>
        <x:v>51.874605629283586</x:v>
      </x:c>
      <x:c r="C21" s="10" t="n">
        <x:f>2*C20*'Параметры'!B14</x:f>
        <x:v>66.00460562928355</x:v>
      </x:c>
      <x:c r="D21" s="10" t="n">
        <x:f>2*D20*'Параметры'!B14</x:f>
        <x:v>104.78152111872637</x:v>
      </x:c>
      <x:c r="E21" s="7" t="str">
        <x:v>кг</x:v>
      </x:c>
      <x:c r="F21" s="7" t="str">
        <x:v>Без поперечин, стоек и остального оборудования</x:v>
      </x:c>
    </x:row>
    <x:row r="22" ht="30" customHeight="1">
      <x:c r="A22" s="2"/>
      <x:c r="B22" s="2"/>
      <x:c r="C22" s="2"/>
      <x:c r="D22" s="2"/>
      <x:c r="E22" s="2"/>
      <x:c r="F22" s="2"/>
    </x:row>
    <x:row r="23" ht="43" customHeight="1">
      <x:c r="A23" s="7" t="str">
        <x:v>Свойства рассчитаны по номинальной геометрии с радиусами; это не паспорт поставщика. Сечение CAD-прототипа фиксировано и соответствует только исходному кандидату B.</x:v>
      </x:c>
      <x:c r="B23" s="7"/>
      <x:c r="C23" s="7"/>
      <x:c r="D23" s="7"/>
      <x:c r="E23" s="7"/>
      <x:c r="F23" s="7"/>
    </x:row>
    <x:row r="24" ht="30" customHeight="1">
      <x:c r="A24" s="2"/>
      <x:c r="B24" s="2"/>
      <x:c r="C24" s="2"/>
      <x:c r="D24" s="2"/>
      <x:c r="E24" s="2"/>
      <x:c r="F24" s="2"/>
    </x:row>
    <x:row r="25" ht="30" customHeight="1">
      <x:c r="A25" s="2"/>
      <x:c r="B25" s="2"/>
      <x:c r="C25" s="2"/>
      <x:c r="D25" s="2"/>
      <x:c r="E25" s="2"/>
      <x:c r="F25" s="2"/>
    </x:row>
  </x:sheetData>
  <x:mergeCells>
    <x:mergeCell ref="A23:F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" hidden="0" customWidth="1"/>
    <x:col min="2" max="2" width="23" hidden="0" customWidth="1"/>
    <x:col min="3" max="3" width="14" hidden="0" customWidth="1"/>
    <x:col min="4" max="4" width="27" hidden="0" customWidth="1"/>
    <x:col min="5" max="5" width="76" hidden="0" customWidth="1"/>
  </x:cols>
  <x:sheetData>
    <x:row r="1" ht="30" customHeight="1">
      <x:c r="A1" s="2"/>
      <x:c r="B1" s="2"/>
      <x:c r="C1" s="2"/>
      <x:c r="D1" s="2"/>
      <x:c r="E1" s="2"/>
    </x:row>
    <x:row r="2" ht="30" customHeight="1">
      <x:c r="A2" s="3" t="str">
        <x:v>Параметры проверки балок R03</x:v>
      </x:c>
      <x:c r="B2" s="2"/>
      <x:c r="C2" s="2"/>
      <x:c r="D2" s="2"/>
      <x:c r="E2" s="2"/>
    </x:row>
    <x:row r="3" ht="30" customHeight="1">
      <x:c r="A3" s="2"/>
      <x:c r="B3" s="2"/>
      <x:c r="C3" s="2"/>
      <x:c r="D3" s="2"/>
      <x:c r="E3" s="2"/>
    </x:row>
    <x:row r="4" ht="30" customHeight="1">
      <x:c r="A4" s="2"/>
      <x:c r="B4" s="2"/>
      <x:c r="C4" s="2"/>
      <x:c r="D4" s="2"/>
      <x:c r="E4" s="2"/>
    </x:row>
    <x:row r="5" ht="38" customHeight="1">
      <x:c r="A5" s="6" t="str">
        <x:v>Параметр</x:v>
      </x:c>
      <x:c r="B5" s="6" t="str">
        <x:v>Значение</x:v>
      </x:c>
      <x:c r="C5" s="6" t="str">
        <x:v>Единица</x:v>
      </x:c>
      <x:c r="D5" s="6" t="str">
        <x:v>Статус</x:v>
      </x:c>
      <x:c r="E5" s="6" t="str">
        <x:v>Основание</x:v>
      </x:c>
    </x:row>
    <x:row r="6" ht="58" customHeight="1">
      <x:c r="A6" s="7" t="str">
        <x:v>Модуль упругости E</x:v>
      </x:c>
      <x:c r="B6" s="8" t="n">
        <x:v>200000</x:v>
      </x:c>
      <x:c r="C6" s="7" t="str">
        <x:v>МПа</x:v>
      </x:c>
      <x:c r="D6" s="7" t="str">
        <x:v>Проектное допущение</x:v>
      </x:c>
      <x:c r="E6" s="7" t="str">
        <x:v>Для сравнения принят E=200000; свойства конкретного Ст3 не подтверждены</x:v>
      </x:c>
    </x:row>
    <x:row r="7" ht="58" customHeight="1">
      <x:c r="A7" s="7" t="str">
        <x:v>Плотность стали</x:v>
      </x:c>
      <x:c r="B7" s="8" t="n">
        <x:v>7850</x:v>
      </x:c>
      <x:c r="C7" s="7" t="str">
        <x:v>кг/м³</x:v>
      </x:c>
      <x:c r="D7" s="7" t="str">
        <x:v>Справочно</x:v>
      </x:c>
      <x:c r="E7" s="7" t="str">
        <x:v>ArcelorMittal, таблица физических свойств, стр. 3; не сертификат выбранного Ст3</x:v>
      </x:c>
    </x:row>
    <x:row r="8" ht="58" customHeight="1">
      <x:c r="A8" s="7" t="str">
        <x:v>Ускорение g</x:v>
      </x:c>
      <x:c r="B8" s="8" t="n">
        <x:v>9.80665</x:v>
      </x:c>
      <x:c r="C8" s="7" t="str">
        <x:v>м/с²</x:v>
      </x:c>
      <x:c r="D8" s="7" t="str">
        <x:v>Константа</x:v>
      </x:c>
      <x:c r="E8" s="7" t="str">
        <x:v>Согласуется с расчётами R02</x:v>
      </x:c>
    </x:row>
    <x:row r="9" ht="58" customHeight="1">
      <x:c r="A9" s="7" t="str">
        <x:v>Погонная масса материала</x:v>
      </x:c>
      <x:c r="B9" s="8" t="n">
        <x:v>30</x:v>
      </x:c>
      <x:c r="C9" s="7" t="str">
        <x:v>кг/м</x:v>
      </x:c>
      <x:c r="D9" s="7" t="str">
        <x:v>Исходный ориентир</x:v>
      </x:c>
      <x:c r="E9" s="7" t="str">
        <x:v>Первоначальное задание; проверить фактическое распределение</x:v>
      </x:c>
    </x:row>
    <x:row r="10" ht="58" customHeight="1">
      <x:c r="A10" s="7" t="str">
        <x:v>Пиковая масса в одной зоне</x:v>
      </x:c>
      <x:c r="B10" s="8" t="n">
        <x:v>15</x:v>
      </x:c>
      <x:c r="C10" s="7" t="str">
        <x:v>кг</x:v>
      </x:c>
      <x:c r="D10" s="7" t="str">
        <x:v>Подтверждено</x:v>
      </x:c>
      <x:c r="E10" s="7" t="str">
        <x:v>Последнее уточнение пользователя; не масса падающего сброса</x:v>
      </x:c>
    </x:row>
    <x:row r="11" ht="58" customHeight="1">
      <x:c r="A11" s="7" t="str">
        <x:v>Предлагаемый предел прогиба</x:v>
      </x:c>
      <x:c r="B11" s="8" t="n">
        <x:v>2</x:v>
      </x:c>
      <x:c r="C11" s="7" t="str">
        <x:v>мм</x:v>
      </x:c>
      <x:c r="D11" s="7" t="str">
        <x:v>Не согласовано</x:v>
      </x:c>
      <x:c r="E11" s="7" t="str">
        <x:v>Критерий для выбора концепции; полный прогиб системы не рассчитан</x:v>
      </x:c>
    </x:row>
    <x:row r="12" ht="58" customHeight="1">
      <x:c r="A12" s="7" t="str">
        <x:v>Дополнительная масса прочих узлов</x:v>
      </x:c>
      <x:c r="B12" s="8"/>
      <x:c r="C12" s="7" t="str">
        <x:v>кг/м балки</x:v>
      </x:c>
      <x:c r="D12" s="7" t="str">
        <x:v>Не задано</x:v>
      </x:c>
      <x:c r="E12" s="7" t="str">
        <x:v>При пустом значении показан частичный расчёт: масса прочих узлов исключена</x:v>
      </x:c>
    </x:row>
    <x:row r="13" ht="58" customHeight="1">
      <x:c r="A13" s="7" t="str">
        <x:v>Допускаемое напряжение</x:v>
      </x:c>
      <x:c r="B13" s="8"/>
      <x:c r="C13" s="7" t="str">
        <x:v>МПа</x:v>
      </x:c>
      <x:c r="D13" s="7" t="str">
        <x:v>Не задано</x:v>
      </x:c>
      <x:c r="E13" s="7" t="str">
        <x:v>Сертификат, расчётная методика и коэффициенты ещё не назначены</x:v>
      </x:c>
    </x:row>
    <x:row r="14" ht="58" customHeight="1">
      <x:c r="A14" s="7" t="str">
        <x:v>Длина одного модуля</x:v>
      </x:c>
      <x:c r="B14" s="8" t="n">
        <x:v>5</x:v>
      </x:c>
      <x:c r="C14" s="7" t="str">
        <x:v>м</x:v>
      </x:c>
      <x:c r="D14" s="7" t="str">
        <x:v>Проектный вариант</x:v>
      </x:c>
      <x:c r="E14" s="7" t="str">
        <x:v>Два модуля примерно по 5 м разрешены; окончательные стыки не назначены</x:v>
      </x:c>
    </x:row>
    <x:row r="15" ht="58" customHeight="1">
      <x:c r="A15" s="7" t="str">
        <x:v>Расстояние между осями балок</x:v>
      </x:c>
      <x:c r="B15" s="8" t="n">
        <x:v>600</x:v>
      </x:c>
      <x:c r="C15" s="7" t="str">
        <x:v>мм</x:v>
      </x:c>
      <x:c r="D15" s="7" t="str">
        <x:v>Проектный вариант</x:v>
      </x:c>
      <x:c r="E15" s="7" t="str">
        <x:v>Предварительный резерв ширины для ленты 500 мм; ролики и крепления ещё не выбраны</x:v>
      </x:c>
    </x:row>
    <x:row r="16" ht="30" customHeight="1">
      <x:c r="A16" s="2"/>
      <x:c r="B16" s="2"/>
      <x:c r="C16" s="2"/>
      <x:c r="D16" s="2"/>
      <x:c r="E16" s="2"/>
    </x:row>
    <x:row r="17" ht="45" customHeight="1">
      <x:c r="A17" s="7" t="str">
        <x:v>Источник физических свойств: https://tubulareurope.arcelormittal.com/sites/default/files/2023-12/structural_hollow_section_arcelormittal.pdf</x:v>
      </x:c>
      <x:c r="B17" s="7"/>
      <x:c r="C17" s="7"/>
      <x:c r="D17" s="7"/>
      <x:c r="E17" s="7"/>
    </x:row>
    <x:row r="18" ht="38" customHeight="1">
      <x:c r="A18" s="7" t="str">
        <x:v>Документ 2020 года, срок экологической декларации до 2025. Использована таблица физических свойств, а не подтверждение её текущей действительности.</x:v>
      </x:c>
      <x:c r="B18" s="7"/>
      <x:c r="C18" s="7"/>
      <x:c r="D18" s="7"/>
      <x:c r="E18" s="7"/>
    </x:row>
    <x:row r="19" ht="30" customHeight="1">
      <x:c r="A19" s="2"/>
      <x:c r="B19" s="2"/>
      <x:c r="C19" s="2"/>
      <x:c r="D19" s="2"/>
      <x:c r="E19" s="2"/>
    </x:row>
  </x:sheetData>
  <x:mergeCells>
    <x:mergeCell ref="A17:E17"/>
    <x:mergeCell ref="A18:E18"/>
  </x:mergeCells>
  <x:pageMargins left="0.7" right="0.7" top="0.75" bottom="0.75" header="0.3" footer="0.3"/>
</x:worksheet>
</file>