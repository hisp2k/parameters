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2a25c6f27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вис" sheetId="1" r:id="R920e0a10e5fe4357"/>
    <x:sheet xmlns:r="http://schemas.openxmlformats.org/officeDocument/2006/relationships" name="Ролик" sheetId="2" r:id="Rec42eb56c7d4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.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b38f1cf55461f" /><Relationship Type="http://schemas.openxmlformats.org/officeDocument/2006/relationships/theme" Target="/xl/theme/theme1.xml" Id="R59ccfba8940b4e08" /><Relationship Type="http://schemas.openxmlformats.org/officeDocument/2006/relationships/sharedStrings" Target="/xl/sharedStrings.xml" Id="Rcd0348eeca3948e1" /><Relationship Type="http://schemas.openxmlformats.org/officeDocument/2006/relationships/worksheet" Target="/xl/worksheets/sheet1.xml" Id="R920e0a10e5fe4357" /><Relationship Type="http://schemas.openxmlformats.org/officeDocument/2006/relationships/worksheet" Target="/xl/worksheets/sheet2.xml" Id="Rec42eb56c7d4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4" hidden="0" customWidth="1"/>
    <x:col min="4" max="4" width="24" hidden="0" customWidth="1"/>
    <x:col min="5" max="5" width="22" hidden="0" customWidth="1"/>
    <x:col min="6" max="6" width="23" hidden="0" customWidth="1"/>
  </x:cols>
  <x:sheetData>
    <x:row r="1" ht="32" customHeight="1">
      <x:c r="A1" s="2"/>
      <x:c r="B1" s="2"/>
      <x:c r="C1" s="2"/>
      <x:c r="D1" s="2"/>
      <x:c r="E1" s="2"/>
      <x:c r="F1" s="2"/>
    </x:row>
    <x:row r="2" ht="32" customHeight="1">
      <x:c r="A2" s="3" t="str">
        <x:v>Загрузка и провис R09</x:v>
      </x:c>
      <x:c r="B2" s="2"/>
      <x:c r="C2" s="2"/>
      <x:c r="D2" s="2"/>
      <x:c r="E2" s="2"/>
      <x:c r="F2" s="2"/>
    </x:row>
    <x:row r="3" ht="32" customHeight="1">
      <x:c r="A3" s="2"/>
      <x:c r="B3" s="2"/>
      <x:c r="C3" s="2"/>
      <x:c r="D3" s="2"/>
      <x:c r="E3" s="2"/>
      <x:c r="F3" s="2"/>
    </x:row>
    <x:row r="4" ht="32" customHeight="1">
      <x:c r="A4" s="2" t="str">
        <x:v>Фактическое пятно, м</x:v>
      </x:c>
      <x:c r="B4" s="2" t="str">
        <x:f>IF(ISBLANK(B28),"неизвестно",B28)</x:f>
        <x:v>неизвестно</x:v>
      </x:c>
      <x:c r="C4" s="2"/>
      <x:c r="D4" s="2"/>
      <x:c r="E4" s="2"/>
      <x:c r="F4" s="2"/>
    </x:row>
    <x:row r="5" ht="32" customHeight="1">
      <x:c r="A5" s="2" t="str">
        <x:v>T рабочей для расчёта, Н</x:v>
      </x:c>
      <x:c r="B5" s="8" t="n">
        <x:f>IF(ISBLANK(B28),D10,IF(B28&lt;0,"пятно &lt;0",B29*COS(B24*PI()/180)*((B21+B22)*MAX(B26,B27)/(8*B25)+B23*IF(B28=0,1/(4*B25),IF(B28&lt;MAX(B26,B27),(2*MAX(B26,B27)-B28)/(8*B25*MAX(B26,B27)),MAX(B26,B27)/(8*B25*B28))))))</x:f>
        <x:v>6892.937933886245</x:v>
      </x:c>
      <x:c r="C5" s="2"/>
      <x:c r="D5" s="2"/>
      <x:c r="E5" s="2"/>
      <x:c r="F5" s="2"/>
    </x:row>
    <x:row r="6" ht="54" customHeight="1">
      <x:c r="A6" s="2" t="str">
        <x:v>Основание результата</x:v>
      </x:c>
      <x:c r="B6" s="4" t="str">
        <x:v>Пятно неизвестно: используется точечный случай. При подтверждённом пятне результат условен и учитывает обычный участок после зоны подачи.</x:v>
      </x:c>
      <x:c r="C6" s="4"/>
      <x:c r="D6" s="4"/>
      <x:c r="E6" s="4"/>
      <x:c r="F6" s="4"/>
    </x:row>
    <x:row r="7" ht="32" customHeight="1">
      <x:c r="A7" s="2"/>
      <x:c r="B7" s="2"/>
      <x:c r="C7" s="2"/>
      <x:c r="D7" s="2"/>
      <x:c r="E7" s="2"/>
      <x:c r="F7" s="2"/>
    </x:row>
    <x:row r="8" ht="32" customHeight="1">
      <x:c r="A8" s="2"/>
      <x:c r="B8" s="2"/>
      <x:c r="C8" s="2"/>
      <x:c r="D8" s="2"/>
      <x:c r="E8" s="2"/>
      <x:c r="F8" s="2"/>
    </x:row>
    <x:row r="9" ht="54" customHeight="1">
      <x:c r="A9" s="7" t="str">
        <x:v>Пятно, м (0 = точка)</x:v>
      </x:c>
      <x:c r="B9" s="7" t="str">
        <x:v>T загрузки, Н</x:v>
      </x:c>
      <x:c r="C9" s="7" t="str">
        <x:v>T обычного участка, Н</x:v>
      </x:c>
      <x:c r="D9" s="7" t="str">
        <x:v>T рабочей max, Н</x:v>
      </x:c>
      <x:c r="E9" s="7" t="str">
        <x:v>R ролика загрузки, Н</x:v>
      </x:c>
      <x:c r="F9" s="7" t="str">
        <x:v>R обычного ролика, Н</x:v>
      </x:c>
    </x:row>
    <x:row r="10" ht="32" customHeight="1">
      <x:c r="A10" s="9" t="n">
        <x:v>0</x:v>
      </x:c>
      <x:c r="B10" s="8" t="n">
        <x:f>$B$29*COS($B$24*PI()/180)*(($B$21+$B$22)*$B$26/(8*$B$25)+$B$23*IF(A10=0,1/(4*$B$25),IF(A10&lt;$B$26,(2*$B$26-A10)/(8*$B$25*$B$26),$B$26/(8*$B$25*A10))))</x:f>
        <x:v>4748.468354454969</x:v>
      </x:c>
      <x:c r="C10" s="8" t="n">
        <x:f>$B$29*COS($B$24*PI()/180)*(($B$21+$B$22)*$B$27/(8*$B$25)+$B$23*IF(A10=0,1/(4*$B$25),IF(A10&lt;$B$27,(2*$B$27-A10)/(8*$B$25*$B$27),$B$27/(8*$B$25*A10))))</x:f>
        <x:v>6892.937933886245</x:v>
      </x:c>
      <x:c r="D10" s="8" t="n">
        <x:f>MAX(B10:C10)</x:f>
        <x:v>6892.937933886245</x:v>
      </x:c>
      <x:c r="E10" s="8" t="n">
        <x:f>$B$29*COS($B$24*PI()/180)*(($B$21+$B$22)*$B$26+$B$23*IF(A10=0,1,IF(A10&lt;2*$B$26,1-A10/(4*$B$26),$B$26/A10)))</x:f>
        <x:v>232.8281257668243</x:v>
      </x:c>
      <x:c r="F10" s="8" t="n">
        <x:f>$B$29*COS($B$24*PI()/180)*(($B$21+$B$22)*$B$27+$B$23*IF(A10=0,1,IF(A10&lt;2*$B$27,1-A10/(4*$B$27),$B$27/A10)))</x:f>
        <x:v>404.3856921213264</x:v>
      </x:c>
    </x:row>
    <x:row r="11" ht="32" customHeight="1">
      <x:c r="A11" s="9" t="n">
        <x:v>0.25</x:v>
      </x:c>
      <x:c r="B11" s="8" t="n">
        <x:f>$B$29*COS($B$24*PI()/180)*(($B$21+$B$22)*$B$26/(8*$B$25)+$B$23*IF(A11=0,1/(4*$B$25),IF(A11&lt;$B$26,(2*$B$26-A11)/(8*$B$25*$B$26),$B$26/(8*$B$25*A11))))</x:f>
        <x:v>2910.3515720853034</x:v>
      </x:c>
      <x:c r="C11" s="8" t="n">
        <x:f>$B$29*COS($B$24*PI()/180)*(($B$21+$B$22)*$B$27/(8*$B$25)+$B$23*IF(A11=0,1/(4*$B$25),IF(A11&lt;$B$27,(2*$B$27-A11)/(8*$B$25*$B$27),$B$27/(8*$B$25*A11))))</x:f>
        <x:v>6280.232339763023</x:v>
      </x:c>
      <x:c r="D11" s="8" t="n">
        <x:f>MAX(B11:C11)</x:f>
        <x:v>6280.232339763023</x:v>
      </x:c>
      <x:c r="E11" s="8" t="n">
        <x:f>$B$29*COS($B$24*PI()/180)*(($B$21+$B$22)*$B$26+$B$23*IF(A11=0,1,IF(A11&lt;2*$B$26,1-A11/(4*$B$26),$B$26/A11)))</x:f>
        <x:v>196.06579011943097</x:v>
      </x:c>
      <x:c r="F11" s="8" t="n">
        <x:f>$B$29*COS($B$24*PI()/180)*(($B$21+$B$22)*$B$27+$B$23*IF(A11=0,1,IF(A11&lt;2*$B$27,1-A11/(4*$B$27),$B$27/A11)))</x:f>
        <x:v>392.13158023886194</x:v>
      </x:c>
    </x:row>
    <x:row r="12" ht="32" customHeight="1">
      <x:c r="A12" s="9" t="n">
        <x:v>0.5</x:v>
      </x:c>
      <x:c r="B12" s="8" t="n">
        <x:f>$B$29*COS($B$24*PI()/180)*(($B$21+$B$22)*$B$26/(8*$B$25)+$B$23*IF(A12=0,1/(4*$B$25),IF(A12&lt;$B$26,(2*$B$26-A12)/(8*$B$25*$B$26),$B$26/(8*$B$25*A12))))</x:f>
        <x:v>1991.2931809004708</x:v>
      </x:c>
      <x:c r="C12" s="8" t="n">
        <x:f>$B$29*COS($B$24*PI()/180)*(($B$21+$B$22)*$B$27/(8*$B$25)+$B$23*IF(A12=0,1/(4*$B$25),IF(A12&lt;$B$27,(2*$B$27-A12)/(8*$B$25*$B$27),$B$27/(8*$B$25*A12))))</x:f>
        <x:v>5667.526745639801</x:v>
      </x:c>
      <x:c r="D12" s="8" t="n">
        <x:f>MAX(B12:C12)</x:f>
        <x:v>5667.526745639801</x:v>
      </x:c>
      <x:c r="E12" s="8" t="n">
        <x:f>$B$29*COS($B$24*PI()/180)*(($B$21+$B$22)*$B$26+$B$23*IF(A12=0,1,IF(A12&lt;2*$B$26,1-A12/(4*$B$26),$B$26/A12)))</x:f>
        <x:v>159.30345447203766</x:v>
      </x:c>
      <x:c r="F12" s="8" t="n">
        <x:f>$B$29*COS($B$24*PI()/180)*(($B$21+$B$22)*$B$27+$B$23*IF(A12=0,1,IF(A12&lt;2*$B$27,1-A12/(4*$B$27),$B$27/A12)))</x:f>
        <x:v>379.8774683563975</x:v>
      </x:c>
    </x:row>
    <x:row r="13" ht="32" customHeight="1">
      <x:c r="A13" s="9" t="n">
        <x:v>0.75</x:v>
      </x:c>
      <x:c r="B13" s="8" t="n">
        <x:f>$B$29*COS($B$24*PI()/180)*(($B$21+$B$22)*$B$26/(8*$B$25)+$B$23*IF(A13=0,1/(4*$B$25),IF(A13&lt;$B$26,(2*$B$26-A13)/(8*$B$25*$B$26),$B$26/(8*$B$25*A13))))</x:f>
        <x:v>1684.9403838388598</x:v>
      </x:c>
      <x:c r="C13" s="8" t="n">
        <x:f>$B$29*COS($B$24*PI()/180)*(($B$21+$B$22)*$B$27/(8*$B$25)+$B$23*IF(A13=0,1/(4*$B$25),IF(A13&lt;$B$27,(2*$B$27-A13)/(8*$B$25*$B$27),$B$27/(8*$B$25*A13))))</x:f>
        <x:v>5054.821151516579</x:v>
      </x:c>
      <x:c r="D13" s="8" t="n">
        <x:f>MAX(B13:C13)</x:f>
        <x:v>5054.821151516579</x:v>
      </x:c>
      <x:c r="E13" s="8" t="n">
        <x:f>$B$29*COS($B$24*PI()/180)*(($B$21+$B$22)*$B$26+$B$23*IF(A13=0,1,IF(A13&lt;2*$B$26,1-A13/(4*$B$26),$B$26/A13)))</x:f>
        <x:v>134.7952307071088</x:v>
      </x:c>
      <x:c r="F13" s="8" t="n">
        <x:f>$B$29*COS($B$24*PI()/180)*(($B$21+$B$22)*$B$27+$B$23*IF(A13=0,1,IF(A13&lt;2*$B$27,1-A13/(4*$B$27),$B$27/A13)))</x:f>
        <x:v>367.6233564739331</x:v>
      </x:c>
    </x:row>
    <x:row r="14" ht="32" customHeight="1">
      <x:c r="A14" s="9" t="n">
        <x:v>1</x:v>
      </x:c>
      <x:c r="B14" s="8" t="n">
        <x:f>$B$29*COS($B$24*PI()/180)*(($B$21+$B$22)*$B$26/(8*$B$25)+$B$23*IF(A14=0,1/(4*$B$25),IF(A14&lt;$B$26,(2*$B$26-A14)/(8*$B$25*$B$26),$B$26/(8*$B$25*A14))))</x:f>
        <x:v>1531.7639853080545</x:v>
      </x:c>
      <x:c r="C14" s="8" t="n">
        <x:f>$B$29*COS($B$24*PI()/180)*(($B$21+$B$22)*$B$27/(8*$B$25)+$B$23*IF(A14=0,1/(4*$B$25),IF(A14&lt;$B$27,(2*$B$27-A14)/(8*$B$25*$B$27),$B$27/(8*$B$25*A14))))</x:f>
        <x:v>4595.291955924164</x:v>
      </x:c>
      <x:c r="D14" s="8" t="n">
        <x:f>MAX(B14:C14)</x:f>
        <x:v>4595.291955924164</x:v>
      </x:c>
      <x:c r="E14" s="8" t="n">
        <x:f>$B$29*COS($B$24*PI()/180)*(($B$21+$B$22)*$B$26+$B$23*IF(A14=0,1,IF(A14&lt;2*$B$26,1-A14/(4*$B$26),$B$26/A14)))</x:f>
        <x:v>122.54111882464436</x:v>
      </x:c>
      <x:c r="F14" s="8" t="n">
        <x:f>$B$29*COS($B$24*PI()/180)*(($B$21+$B$22)*$B$27+$B$23*IF(A14=0,1,IF(A14&lt;2*$B$27,1-A14/(4*$B$27),$B$27/A14)))</x:f>
        <x:v>355.36924459146866</x:v>
      </x:c>
    </x:row>
    <x:row r="15" ht="32" customHeight="1">
      <x:c r="A15" s="2"/>
      <x:c r="B15" s="2"/>
      <x:c r="C15" s="2"/>
      <x:c r="D15" s="2"/>
      <x:c r="E15" s="2"/>
      <x:c r="F15" s="2"/>
    </x:row>
    <x:row r="16" ht="54" customHeight="1">
      <x:c r="A16" s="4" t="str">
        <x:v>Частые ролики под подачей не распределяют порцию сами по себе. Если 15 кг сохраняются компактными, глобальная потребность 6,893 кН остаётся как в R08.</x:v>
      </x:c>
      <x:c r="B16" s="4"/>
      <x:c r="C16" s="4"/>
      <x:c r="D16" s="4"/>
      <x:c r="E16" s="4"/>
      <x:c r="F16" s="4"/>
    </x:row>
    <x:row r="17" ht="32" customHeight="1">
      <x:c r="A17" s="2"/>
      <x:c r="B17" s="2"/>
      <x:c r="C17" s="2"/>
      <x:c r="D17" s="2"/>
      <x:c r="E17" s="2"/>
      <x:c r="F17" s="2"/>
    </x:row>
    <x:row r="18" ht="32" customHeight="1">
      <x:c r="A18" s="2"/>
      <x:c r="B18" s="2"/>
      <x:c r="C18" s="2"/>
      <x:c r="D18" s="2"/>
      <x:c r="E18" s="2"/>
      <x:c r="F18" s="2"/>
    </x:row>
    <x:row r="19" ht="32" customHeight="1">
      <x:c r="A19" s="2"/>
      <x:c r="B19" s="2"/>
      <x:c r="C19" s="2"/>
      <x:c r="D19" s="2"/>
      <x:c r="E19" s="2"/>
      <x:c r="F19" s="2"/>
    </x:row>
    <x:row r="20" ht="54" customHeight="1">
      <x:c r="A20" s="7" t="str">
        <x:v>Исходный параметр</x:v>
      </x:c>
      <x:c r="B20" s="7" t="str">
        <x:v>Значение</x:v>
      </x:c>
      <x:c r="C20" s="7" t="str">
        <x:v>Единица</x:v>
      </x:c>
      <x:c r="D20" s="7" t="str">
        <x:v>Статус</x:v>
      </x:c>
      <x:c r="E20" s="2"/>
      <x:c r="F20" s="2"/>
    </x:row>
    <x:row r="21" ht="38" customHeight="1">
      <x:c r="A21" s="4" t="str">
        <x:v>q материала</x:v>
      </x:c>
      <x:c r="B21" s="12" t="n">
        <x:v>30</x:v>
      </x:c>
      <x:c r="C21" s="4" t="str">
        <x:v>кг/м</x:v>
      </x:c>
      <x:c r="D21" s="4" t="str">
        <x:v>Ориентир задания</x:v>
      </x:c>
      <x:c r="E21" s="2"/>
      <x:c r="F21" s="2"/>
    </x:row>
    <x:row r="22" ht="38" customHeight="1">
      <x:c r="A22" s="4" t="str">
        <x:v>q ленты</x:v>
      </x:c>
      <x:c r="B22" s="12" t="n">
        <x:v>5</x:v>
      </x:c>
      <x:c r="C22" s="4" t="str">
        <x:v>кг/м</x:v>
      </x:c>
      <x:c r="D22" s="4" t="str">
        <x:v>Допущение</x:v>
      </x:c>
      <x:c r="E22" s="2"/>
      <x:c r="F22" s="2"/>
    </x:row>
    <x:row r="23" ht="38" customHeight="1">
      <x:c r="A23" s="4" t="str">
        <x:v>Единственная локальная масса</x:v>
      </x:c>
      <x:c r="B23" s="12" t="n">
        <x:v>15</x:v>
      </x:c>
      <x:c r="C23" s="4" t="str">
        <x:v>кг</x:v>
      </x:c>
      <x:c r="D23" s="4" t="str">
        <x:v>Сочетание с q условно</x:v>
      </x:c>
      <x:c r="E23" s="2"/>
      <x:c r="F23" s="2"/>
    </x:row>
    <x:row r="24" ht="38" customHeight="1">
      <x:c r="A24" s="4" t="str">
        <x:v>Уклон</x:v>
      </x:c>
      <x:c r="B24" s="12" t="n">
        <x:v>1.5</x:v>
      </x:c>
      <x:c r="C24" s="4" t="str">
        <x:v>град</x:v>
      </x:c>
      <x:c r="D24" s="4" t="str">
        <x:v>Пример1,5 из1–2°</x:v>
      </x:c>
      <x:c r="E24" s="2"/>
      <x:c r="F24" s="2"/>
    </x:row>
    <x:row r="25" ht="38" customHeight="1">
      <x:c r="A25" s="4" t="str">
        <x:v>Относительный провис</x:v>
      </x:c>
      <x:c r="B25" s="13" t="n">
        <x:v>0.01</x:v>
      </x:c>
      <x:c r="C25" s="4" t="str">
        <x:v>доля</x:v>
      </x:c>
      <x:c r="D25" s="4" t="str">
        <x:v>Предлагаемый ориентир1%</x:v>
      </x:c>
      <x:c r="E25" s="2"/>
      <x:c r="F25" s="2"/>
    </x:row>
    <x:row r="26" ht="38" customHeight="1">
      <x:c r="A26" s="4" t="str">
        <x:v>Шаг зоны загрузки</x:v>
      </x:c>
      <x:c r="B26" s="12" t="n">
        <x:v>0.25</x:v>
      </x:c>
      <x:c r="C26" s="4" t="str">
        <x:v>м</x:v>
      </x:c>
      <x:c r="D26" s="4" t="str">
        <x:v>Кандидат</x:v>
      </x:c>
      <x:c r="E26" s="2"/>
      <x:c r="F26" s="2"/>
    </x:row>
    <x:row r="27" ht="38" customHeight="1">
      <x:c r="A27" s="4" t="str">
        <x:v>Шаг обычного участка</x:v>
      </x:c>
      <x:c r="B27" s="12" t="n">
        <x:v>0.75</x:v>
      </x:c>
      <x:c r="C27" s="4" t="str">
        <x:v>м</x:v>
      </x:c>
      <x:c r="D27" s="4" t="str">
        <x:v>Сценарий R08</x:v>
      </x:c>
      <x:c r="E27" s="2"/>
      <x:c r="F27" s="2"/>
    </x:row>
    <x:row r="28" ht="38" customHeight="1">
      <x:c r="A28" s="4" t="str">
        <x:v>Подтверждённая длина пятна</x:v>
      </x:c>
      <x:c r="B28" s="12"/>
      <x:c r="C28" s="4" t="str">
        <x:v>м</x:v>
      </x:c>
      <x:c r="D28" s="4" t="str">
        <x:v>Пусто: неизвестна;0: точка</x:v>
      </x:c>
      <x:c r="E28" s="2"/>
      <x:c r="F28" s="2"/>
    </x:row>
    <x:row r="29" ht="38" customHeight="1">
      <x:c r="A29" s="4" t="str">
        <x:v>g</x:v>
      </x:c>
      <x:c r="B29" s="12" t="n">
        <x:v>9.80665</x:v>
      </x:c>
      <x:c r="C29" s="4" t="str">
        <x:v>м/с²</x:v>
      </x:c>
      <x:c r="D29" s="4" t="str">
        <x:v>Константа</x:v>
      </x:c>
      <x:c r="E29" s="2"/>
      <x:c r="F29" s="2"/>
    </x:row>
    <x:row r="30" ht="32" customHeight="1">
      <x:c r="A30" s="2"/>
      <x:c r="B30" s="2"/>
      <x:c r="C30" s="2"/>
      <x:c r="D30" s="2"/>
      <x:c r="E30" s="2"/>
      <x:c r="F30" s="2"/>
    </x:row>
    <x:row r="31" ht="54" customHeight="1">
      <x:c r="A31" s="4" t="str">
        <x:v>R — нормальная нагрузка от ленты и материала на один ролик. Собственный вес ролика и удар не входят. Распределённая порция принята равномерной по длине.</x:v>
      </x:c>
      <x:c r="B31" s="4"/>
      <x:c r="C31" s="4"/>
      <x:c r="D31" s="4"/>
      <x:c r="E31" s="4"/>
      <x:c r="F31" s="4"/>
    </x:row>
    <x:row r="32" ht="32" customHeight="1">
      <x:c r="A32" s="2"/>
      <x:c r="B32" s="2"/>
      <x:c r="C32" s="2"/>
      <x:c r="D32" s="2"/>
      <x:c r="E32" s="2"/>
      <x:c r="F32" s="2"/>
    </x:row>
    <x:row r="33" ht="54" customHeight="1">
      <x:c r="A33" s="4" t="str">
        <x:v>https://www.habasit.com/-/media/Project/Habasit/NewWebsite/Downloads/Products/General-conveyor-belts/Fabric-Conveyor-Belts-Engineering-Guide.pdf</x:v>
      </x:c>
      <x:c r="B33" s="4"/>
      <x:c r="C33" s="4"/>
      <x:c r="D33" s="4"/>
      <x:c r="E33" s="4"/>
      <x:c r="F33" s="4"/>
    </x:row>
    <x:row r="34" ht="32" customHeight="1">
      <x:c r="A34" s="2"/>
      <x:c r="B34" s="2"/>
      <x:c r="C34" s="2"/>
      <x:c r="D34" s="2"/>
      <x:c r="E34" s="2"/>
      <x:c r="F34" s="2"/>
    </x:row>
  </x:sheetData>
  <x:mergeCells>
    <x:mergeCell ref="B6:F6"/>
    <x:mergeCell ref="A16:F16"/>
    <x:mergeCell ref="A31:F31"/>
    <x:mergeCell ref="A33:F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3" hidden="0" customWidth="1"/>
    <x:col min="5" max="5" width="22" hidden="0" customWidth="1"/>
    <x:col min="6" max="6" width="22" hidden="0" customWidth="1"/>
    <x:col min="7" max="7" width="23" hidden="0" customWidth="1"/>
    <x:col min="8" max="8" width="23" hidden="0" customWidth="1"/>
    <x:col min="9" max="9" width="23" hidden="0" customWidth="1"/>
    <x:col min="10" max="10" width="2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Ролик: нагрузки и отдельные оценки изгиба R09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54" customHeight="1">
      <x:c r="A4" s="4" t="str">
        <x:v>Ось стационарная. Подшипники расположены около опор. Расчёт оси ниже — крайняя схема: вся нагрузка в середине пролёта600мм; точная частичная схема с двумя нагрузками приведена в JSON/PDF.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54" customHeight="1">
      <x:c r="A7" s="7" t="str">
        <x:v>Шаг, м</x:v>
      </x:c>
      <x:c r="B7" s="7" t="str">
        <x:v>k местной массы</x:v>
      </x:c>
      <x:c r="C7" s="7" t="str">
        <x:v>P ленты, Н</x:v>
      </x:c>
      <x:c r="D7" s="7" t="str">
        <x:v>P на ось с весом, Н</x:v>
      </x:c>
      <x:c r="E7" s="7" t="str">
        <x:v>I оболочки, мм⁴</x:v>
      </x:c>
      <x:c r="F7" s="7" t="str">
        <x:v>σ оболочки, МПа</x:v>
      </x:c>
      <x:c r="G7" s="7" t="str">
        <x:v>δ оболочки, мм</x:v>
      </x:c>
      <x:c r="H7" s="7" t="str">
        <x:v>σ оси (центр), МПа</x:v>
      </x:c>
      <x:c r="I7" s="7" t="str">
        <x:v>δ оси (центр), мм</x:v>
      </x:c>
      <x:c r="J7" s="7" t="str">
        <x:v>Макс. R подш., Н</x:v>
      </x:c>
    </x:row>
    <x:row r="8" ht="32" customHeight="1">
      <x:c r="A8" s="15" t="n">
        <x:v>0.25</x:v>
      </x:c>
      <x:c r="B8" s="15" t="n">
        <x:v>1</x:v>
      </x:c>
      <x:c r="C8" s="14" t="n">
        <x:f>'Провис'!$B$29*COS('Провис'!$B$24*PI()/180)*(('Провис'!$B$21+'Провис'!$B$22)*A8+'Провис'!$B$23*B8)</x:f>
        <x:v>232.8281257668243</x:v>
      </x:c>
      <x:c r="D8" s="14" t="n">
        <x:f>C8+'Провис'!$B$29*($B$30*COS('Провис'!$B$24*PI()/180)+$B$31)</x:f>
        <x:v>291.37872532206006</x:v>
      </x:c>
      <x:c r="E8" s="14" t="n">
        <x:f>PI()*($B$22^4-$B$23^4)/64</x:f>
        <x:v>459073.8658856059</x:v>
      </x:c>
      <x:c r="F8" s="14" t="n">
        <x:f>(C8+$B$30*'Провис'!$B$29*COS('Провис'!$B$24*PI()/180))*$B$25/4*$B$22/(2*E8)</x:f>
        <x:v>2.9110778182579726</x:v>
      </x:c>
      <x:c r="G8" s="14" t="n">
        <x:f>IF(OR(ISBLANK($B$29),$B$29&lt;=0),"нет E",(C8+$B$30*'Провис'!$B$29*COS('Провис'!$B$24*PI()/180))*$B$25^3/(48*$B$29*E8))</x:f>
        <x:v>0.008797870873435898</x:v>
      </x:c>
      <x:c r="H8" s="14" t="n">
        <x:f>D8*$B$28/4*$B$26/(2*(PI()*$B$26^4/64))</x:f>
        <x:v>28.492409516127115</x:v>
      </x:c>
      <x:c r="I8" s="14" t="n">
        <x:f>IF(OR(ISBLANK($B$29),$B$29&lt;=0),"нет E",D8*$B$28^3/(48*$B$29*(PI()*$B$26^4/64)))</x:f>
        <x:v>0.34190891419352537</x:v>
      </x:c>
      <x:c r="J8" s="14" t="n">
        <x:f>('Провис'!$B$29*COS('Провис'!$B$24*PI()/180)*('Провис'!$B$21+'Провис'!$B$22)*A8+$B$30*'Провис'!$B$29*COS('Провис'!$B$24*PI()/180))/2+'Провис'!$B$23*B8*'Провис'!$B$29*COS('Провис'!$B$24*PI()/180)*(.5+$B$32/$B$25)</x:f>
        <x:v>203.99840854355847</x:v>
      </x:c>
    </x:row>
    <x:row r="9" ht="32" customHeight="1">
      <x:c r="A9" s="15" t="n">
        <x:v>0.25</x:v>
      </x:c>
      <x:c r="B9" s="15" t="n">
        <x:v>2</x:v>
      </x:c>
      <x:c r="C9" s="14" t="n">
        <x:f>'Провис'!$B$29*COS('Провис'!$B$24*PI()/180)*(('Провис'!$B$21+'Провис'!$B$22)*A9+'Провис'!$B$23*B9)</x:f>
        <x:v>379.8774683563975</x:v>
      </x:c>
      <x:c r="D9" s="14" t="n">
        <x:f>C9+'Провис'!$B$29*($B$30*COS('Провис'!$B$24*PI()/180)+$B$31)</x:f>
        <x:v>438.4280679116333</x:v>
      </x:c>
      <x:c r="E9" s="14" t="n">
        <x:f>PI()*($B$22^4-$B$23^4)/64</x:f>
        <x:v>459073.8658856059</x:v>
      </x:c>
      <x:c r="F9" s="14" t="n">
        <x:f>(C9+$B$30*'Провис'!$B$29*COS('Провис'!$B$24*PI()/180))*$B$25/4*$B$22/(2*E9)</x:f>
        <x:v>4.508660801446675</x:v>
      </x:c>
      <x:c r="G9" s="14" t="n">
        <x:f>IF(OR(ISBLANK($B$29),$B$29&lt;=0),"нет E",(C9+$B$30*'Провис'!$B$29*COS('Провис'!$B$24*PI()/180))*$B$25^3/(48*$B$29*E9))</x:f>
        <x:v>0.013626092471477412</x:v>
      </x:c>
      <x:c r="H9" s="14" t="n">
        <x:f>D9*$B$28/4*$B$26/(2*(PI()*$B$26^4/64))</x:f>
        <x:v>42.87159963547584</x:v>
      </x:c>
      <x:c r="I9" s="14" t="n">
        <x:f>IF(OR(ISBLANK($B$29),$B$29&lt;=0),"нет E",D9*$B$28^3/(48*$B$29*(PI()*$B$26^4/64)))</x:f>
        <x:v>0.5144591956257102</x:v>
      </x:c>
      <x:c r="J9" s="14" t="n">
        <x:f>('Провис'!$B$29*COS('Провис'!$B$24*PI()/180)*('Провис'!$B$21+'Провис'!$B$22)*A9+$B$30*'Провис'!$B$29*COS('Провис'!$B$24*PI()/180))/2+'Провис'!$B$23*B9*'Провис'!$B$29*COS('Провис'!$B$24*PI()/180)*(.5+$B$32/$B$25)</x:f>
        <x:v>347.54657630957047</x:v>
      </x:c>
    </x:row>
    <x:row r="10" ht="32" customHeight="1">
      <x:c r="A10" s="15" t="n">
        <x:v>0.25</x:v>
      </x:c>
      <x:c r="B10" s="15" t="n">
        <x:v>3</x:v>
      </x:c>
      <x:c r="C10" s="14" t="n">
        <x:f>'Провис'!$B$29*COS('Провис'!$B$24*PI()/180)*(('Провис'!$B$21+'Провис'!$B$22)*A10+'Провис'!$B$23*B10)</x:f>
        <x:v>526.9268109459707</x:v>
      </x:c>
      <x:c r="D10" s="14" t="n">
        <x:f>C10+'Провис'!$B$29*($B$30*COS('Провис'!$B$24*PI()/180)+$B$31)</x:f>
        <x:v>585.4774105012065</x:v>
      </x:c>
      <x:c r="E10" s="14" t="n">
        <x:f>PI()*($B$22^4-$B$23^4)/64</x:f>
        <x:v>459073.8658856059</x:v>
      </x:c>
      <x:c r="F10" s="14" t="n">
        <x:f>(C10+$B$30*'Провис'!$B$29*COS('Провис'!$B$24*PI()/180))*$B$25/4*$B$22/(2*E10)</x:f>
        <x:v>6.106243784635377</x:v>
      </x:c>
      <x:c r="G10" s="14" t="n">
        <x:f>IF(OR(ISBLANK($B$29),$B$29&lt;=0),"нет E",(C10+$B$30*'Провис'!$B$29*COS('Провис'!$B$24*PI()/180))*$B$25^3/(48*$B$29*E10))</x:f>
        <x:v>0.018454314069518925</x:v>
      </x:c>
      <x:c r="H10" s="14" t="n">
        <x:f>D10*$B$28/4*$B$26/(2*(PI()*$B$26^4/64))</x:f>
        <x:v>57.25078975482456</x:v>
      </x:c>
      <x:c r="I10" s="14" t="n">
        <x:f>IF(OR(ISBLANK($B$29),$B$29&lt;=0),"нет E",D10*$B$28^3/(48*$B$29*(PI()*$B$26^4/64)))</x:f>
        <x:v>0.6870094770578947</x:v>
      </x:c>
      <x:c r="J10" s="14" t="n">
        <x:f>('Провис'!$B$29*COS('Провис'!$B$24*PI()/180)*('Провис'!$B$21+'Провис'!$B$22)*A10+$B$30*'Провис'!$B$29*COS('Провис'!$B$24*PI()/180))/2+'Провис'!$B$23*B10*'Провис'!$B$29*COS('Провис'!$B$24*PI()/180)*(.5+$B$32/$B$25)</x:f>
        <x:v>491.09474407558235</x:v>
      </x:c>
    </x:row>
    <x:row r="11" ht="32" customHeight="1">
      <x:c r="A11" s="15" t="n">
        <x:v>0.5</x:v>
      </x:c>
      <x:c r="B11" s="15" t="n">
        <x:v>1</x:v>
      </x:c>
      <x:c r="C11" s="14" t="n">
        <x:f>'Провис'!$B$29*COS('Провис'!$B$24*PI()/180)*(('Провис'!$B$21+'Провис'!$B$22)*A11+'Провис'!$B$23*B11)</x:f>
        <x:v>318.6069089440753</x:v>
      </x:c>
      <x:c r="D11" s="14" t="n">
        <x:f>C11+'Провис'!$B$29*($B$30*COS('Провис'!$B$24*PI()/180)+$B$31)</x:f>
        <x:v>377.1575084993111</x:v>
      </x:c>
      <x:c r="E11" s="14" t="n">
        <x:f>PI()*($B$22^4-$B$23^4)/64</x:f>
        <x:v>459073.8658856059</x:v>
      </x:c>
      <x:c r="F11" s="14" t="n">
        <x:f>(C11+$B$30*'Провис'!$B$29*COS('Провис'!$B$24*PI()/180))*$B$25/4*$B$22/(2*E11)</x:f>
        <x:v>3.843001225118049</x:v>
      </x:c>
      <x:c r="G11" s="14" t="n">
        <x:f>IF(OR(ISBLANK($B$29),$B$29&lt;=0),"нет E",(C11+$B$30*'Провис'!$B$29*COS('Провис'!$B$24*PI()/180))*$B$25^3/(48*$B$29*E11))</x:f>
        <x:v>0.011614333472293448</x:v>
      </x:c>
      <x:c r="H11" s="14" t="n">
        <x:f>D11*$B$28/4*$B$26/(2*(PI()*$B$26^4/64))</x:f>
        <x:v>36.880270419080546</x:v>
      </x:c>
      <x:c r="I11" s="14" t="n">
        <x:f>IF(OR(ISBLANK($B$29),$B$29&lt;=0),"нет E",D11*$B$28^3/(48*$B$29*(PI()*$B$26^4/64)))</x:f>
        <x:v>0.4425632450289665</x:v>
      </x:c>
      <x:c r="J11" s="14" t="n">
        <x:f>('Провис'!$B$29*COS('Провис'!$B$24*PI()/180)*('Провис'!$B$21+'Провис'!$B$22)*A11+$B$30*'Провис'!$B$29*COS('Провис'!$B$24*PI()/180))/2+'Провис'!$B$23*B11*'Провис'!$B$29*COS('Провис'!$B$24*PI()/180)*(.5+$B$32/$B$25)</x:f>
        <x:v>246.887800132184</x:v>
      </x:c>
    </x:row>
    <x:row r="12" ht="32" customHeight="1">
      <x:c r="A12" s="15" t="n">
        <x:v>0.5</x:v>
      </x:c>
      <x:c r="B12" s="15" t="n">
        <x:v>2</x:v>
      </x:c>
      <x:c r="C12" s="14" t="n">
        <x:f>'Провис'!$B$29*COS('Провис'!$B$24*PI()/180)*(('Провис'!$B$21+'Провис'!$B$22)*A12+'Провис'!$B$23*B12)</x:f>
        <x:v>465.6562515336486</x:v>
      </x:c>
      <x:c r="D12" s="14" t="n">
        <x:f>C12+'Провис'!$B$29*($B$30*COS('Провис'!$B$24*PI()/180)+$B$31)</x:f>
        <x:v>524.2068510888844</x:v>
      </x:c>
      <x:c r="E12" s="14" t="n">
        <x:f>PI()*($B$22^4-$B$23^4)/64</x:f>
        <x:v>459073.8658856059</x:v>
      </x:c>
      <x:c r="F12" s="14" t="n">
        <x:f>(C12+$B$30*'Провис'!$B$29*COS('Провис'!$B$24*PI()/180))*$B$25/4*$B$22/(2*E12)</x:f>
        <x:v>5.440584208306752</x:v>
      </x:c>
      <x:c r="G12" s="14" t="n">
        <x:f>IF(OR(ISBLANK($B$29),$B$29&lt;=0),"нет E",(C12+$B$30*'Провис'!$B$29*COS('Провис'!$B$24*PI()/180))*$B$25^3/(48*$B$29*E12))</x:f>
        <x:v>0.016442555070334965</x:v>
      </x:c>
      <x:c r="H12" s="14" t="n">
        <x:f>D12*$B$28/4*$B$26/(2*(PI()*$B$26^4/64))</x:f>
        <x:v>51.25946053842927</x:v>
      </x:c>
      <x:c r="I12" s="14" t="n">
        <x:f>IF(OR(ISBLANK($B$29),$B$29&lt;=0),"нет E",D12*$B$28^3/(48*$B$29*(PI()*$B$26^4/64)))</x:f>
        <x:v>0.6151135264611512</x:v>
      </x:c>
      <x:c r="J12" s="14" t="n">
        <x:f>('Провис'!$B$29*COS('Провис'!$B$24*PI()/180)*('Провис'!$B$21+'Провис'!$B$22)*A12+$B$30*'Провис'!$B$29*COS('Провис'!$B$24*PI()/180))/2+'Провис'!$B$23*B12*'Провис'!$B$29*COS('Провис'!$B$24*PI()/180)*(.5+$B$32/$B$25)</x:f>
        <x:v>390.435967898196</x:v>
      </x:c>
    </x:row>
    <x:row r="13" ht="32" customHeight="1">
      <x:c r="A13" s="15" t="n">
        <x:v>0.5</x:v>
      </x:c>
      <x:c r="B13" s="15" t="n">
        <x:v>3</x:v>
      </x:c>
      <x:c r="C13" s="14" t="n">
        <x:f>'Провис'!$B$29*COS('Провис'!$B$24*PI()/180)*(('Провис'!$B$21+'Провис'!$B$22)*A13+'Провис'!$B$23*B13)</x:f>
        <x:v>612.7055941232218</x:v>
      </x:c>
      <x:c r="D13" s="14" t="n">
        <x:f>C13+'Провис'!$B$29*($B$30*COS('Провис'!$B$24*PI()/180)+$B$31)</x:f>
        <x:v>671.2561936784575</x:v>
      </x:c>
      <x:c r="E13" s="14" t="n">
        <x:f>PI()*($B$22^4-$B$23^4)/64</x:f>
        <x:v>459073.8658856059</x:v>
      </x:c>
      <x:c r="F13" s="14" t="n">
        <x:f>(C13+$B$30*'Провис'!$B$29*COS('Провис'!$B$24*PI()/180))*$B$25/4*$B$22/(2*E13)</x:f>
        <x:v>7.038167191495453</x:v>
      </x:c>
      <x:c r="G13" s="14" t="n">
        <x:f>IF(OR(ISBLANK($B$29),$B$29&lt;=0),"нет E",(C13+$B$30*'Провис'!$B$29*COS('Провис'!$B$24*PI()/180))*$B$25^3/(48*$B$29*E13))</x:f>
        <x:v>0.021270776668376477</x:v>
      </x:c>
      <x:c r="H13" s="14" t="n">
        <x:f>D13*$B$28/4*$B$26/(2*(PI()*$B$26^4/64))</x:f>
        <x:v>65.63865065777799</x:v>
      </x:c>
      <x:c r="I13" s="14" t="n">
        <x:f>IF(OR(ISBLANK($B$29),$B$29&lt;=0),"нет E",D13*$B$28^3/(48*$B$29*(PI()*$B$26^4/64)))</x:f>
        <x:v>0.7876638078933358</x:v>
      </x:c>
      <x:c r="J13" s="14" t="n">
        <x:f>('Провис'!$B$29*COS('Провис'!$B$24*PI()/180)*('Провис'!$B$21+'Провис'!$B$22)*A13+$B$30*'Провис'!$B$29*COS('Провис'!$B$24*PI()/180))/2+'Провис'!$B$23*B13*'Провис'!$B$29*COS('Провис'!$B$24*PI()/180)*(.5+$B$32/$B$25)</x:f>
        <x:v>533.9841356642079</x:v>
      </x:c>
    </x:row>
    <x:row r="14" ht="32" customHeight="1">
      <x:c r="A14" s="15" t="n">
        <x:v>0.75</x:v>
      </x:c>
      <x:c r="B14" s="15" t="n">
        <x:v>1</x:v>
      </x:c>
      <x:c r="C14" s="14" t="n">
        <x:f>'Провис'!$B$29*COS('Провис'!$B$24*PI()/180)*(('Провис'!$B$21+'Провис'!$B$22)*A14+'Провис'!$B$23*B14)</x:f>
        <x:v>404.3856921213264</x:v>
      </x:c>
      <x:c r="D14" s="14" t="n">
        <x:f>C14+'Провис'!$B$29*($B$30*COS('Провис'!$B$24*PI()/180)+$B$31)</x:f>
        <x:v>462.9362916765622</x:v>
      </x:c>
      <x:c r="E14" s="14" t="n">
        <x:f>PI()*($B$22^4-$B$23^4)/64</x:f>
        <x:v>459073.8658856059</x:v>
      </x:c>
      <x:c r="F14" s="14" t="n">
        <x:f>(C14+$B$30*'Провис'!$B$29*COS('Провис'!$B$24*PI()/180))*$B$25/4*$B$22/(2*E14)</x:f>
        <x:v>4.774924631978126</x:v>
      </x:c>
      <x:c r="G14" s="14" t="n">
        <x:f>IF(OR(ISBLANK($B$29),$B$29&lt;=0),"нет E",(C14+$B$30*'Провис'!$B$29*COS('Провис'!$B$24*PI()/180))*$B$25^3/(48*$B$29*E14))</x:f>
        <x:v>0.014430796071150997</x:v>
      </x:c>
      <x:c r="H14" s="14" t="n">
        <x:f>D14*$B$28/4*$B$26/(2*(PI()*$B$26^4/64))</x:f>
        <x:v>45.268131322033966</x:v>
      </x:c>
      <x:c r="I14" s="14" t="n">
        <x:f>IF(OR(ISBLANK($B$29),$B$29&lt;=0),"нет E",D14*$B$28^3/(48*$B$29*(PI()*$B$26^4/64)))</x:f>
        <x:v>0.5432175758644077</x:v>
      </x:c>
      <x:c r="J14" s="14" t="n">
        <x:f>('Провис'!$B$29*COS('Провис'!$B$24*PI()/180)*('Провис'!$B$21+'Провис'!$B$22)*A14+$B$30*'Провис'!$B$29*COS('Провис'!$B$24*PI()/180))/2+'Провис'!$B$23*B14*'Провис'!$B$29*COS('Провис'!$B$24*PI()/180)*(.5+$B$32/$B$25)</x:f>
        <x:v>289.7771917208096</x:v>
      </x:c>
    </x:row>
    <x:row r="15" ht="32" customHeight="1">
      <x:c r="A15" s="15" t="n">
        <x:v>0.75</x:v>
      </x:c>
      <x:c r="B15" s="15" t="n">
        <x:v>2</x:v>
      </x:c>
      <x:c r="C15" s="14" t="n">
        <x:f>'Провис'!$B$29*COS('Провис'!$B$24*PI()/180)*(('Провис'!$B$21+'Провис'!$B$22)*A15+'Провис'!$B$23*B15)</x:f>
        <x:v>551.4350347108996</x:v>
      </x:c>
      <x:c r="D15" s="14" t="n">
        <x:f>C15+'Провис'!$B$29*($B$30*COS('Провис'!$B$24*PI()/180)+$B$31)</x:f>
        <x:v>609.9856342661353</x:v>
      </x:c>
      <x:c r="E15" s="14" t="n">
        <x:f>PI()*($B$22^4-$B$23^4)/64</x:f>
        <x:v>459073.8658856059</x:v>
      </x:c>
      <x:c r="F15" s="14" t="n">
        <x:f>(C15+$B$30*'Провис'!$B$29*COS('Провис'!$B$24*PI()/180))*$B$25/4*$B$22/(2*E15)</x:f>
        <x:v>6.372507615166828</x:v>
      </x:c>
      <x:c r="G15" s="14" t="n">
        <x:f>IF(OR(ISBLANK($B$29),$B$29&lt;=0),"нет E",(C15+$B$30*'Провис'!$B$29*COS('Провис'!$B$24*PI()/180))*$B$25^3/(48*$B$29*E15))</x:f>
        <x:v>0.01925901766919251</x:v>
      </x:c>
      <x:c r="H15" s="14" t="n">
        <x:f>D15*$B$28/4*$B$26/(2*(PI()*$B$26^4/64))</x:f>
        <x:v>59.64732144138269</x:v>
      </x:c>
      <x:c r="I15" s="14" t="n">
        <x:f>IF(OR(ISBLANK($B$29),$B$29&lt;=0),"нет E",D15*$B$28^3/(48*$B$29*(PI()*$B$26^4/64)))</x:f>
        <x:v>0.7157678572965922</x:v>
      </x:c>
      <x:c r="J15" s="14" t="n">
        <x:f>('Провис'!$B$29*COS('Провис'!$B$24*PI()/180)*('Провис'!$B$21+'Провис'!$B$22)*A15+$B$30*'Провис'!$B$29*COS('Провис'!$B$24*PI()/180))/2+'Провис'!$B$23*B15*'Провис'!$B$29*COS('Провис'!$B$24*PI()/180)*(.5+$B$32/$B$25)</x:f>
        <x:v>433.3253594868215</x:v>
      </x:c>
    </x:row>
    <x:row r="16" ht="32" customHeight="1">
      <x:c r="A16" s="15" t="n">
        <x:v>0.75</x:v>
      </x:c>
      <x:c r="B16" s="15" t="n">
        <x:v>3</x:v>
      </x:c>
      <x:c r="C16" s="14" t="n">
        <x:f>'Провис'!$B$29*COS('Провис'!$B$24*PI()/180)*(('Провис'!$B$21+'Провис'!$B$22)*A16+'Провис'!$B$23*B16)</x:f>
        <x:v>698.4843773004728</x:v>
      </x:c>
      <x:c r="D16" s="14" t="n">
        <x:f>C16+'Провис'!$B$29*($B$30*COS('Провис'!$B$24*PI()/180)+$B$31)</x:f>
        <x:v>757.0349768557086</x:v>
      </x:c>
      <x:c r="E16" s="14" t="n">
        <x:f>PI()*($B$22^4-$B$23^4)/64</x:f>
        <x:v>459073.8658856059</x:v>
      </x:c>
      <x:c r="F16" s="14" t="n">
        <x:f>(C16+$B$30*'Провис'!$B$29*COS('Провис'!$B$24*PI()/180))*$B$25/4*$B$22/(2*E16)</x:f>
        <x:v>7.9700905983555295</x:v>
      </x:c>
      <x:c r="G16" s="14" t="n">
        <x:f>IF(OR(ISBLANK($B$29),$B$29&lt;=0),"нет E",(C16+$B$30*'Провис'!$B$29*COS('Провис'!$B$24*PI()/180))*$B$25^3/(48*$B$29*E16))</x:f>
        <x:v>0.024087239267234026</x:v>
      </x:c>
      <x:c r="H16" s="14" t="n">
        <x:f>D16*$B$28/4*$B$26/(2*(PI()*$B$26^4/64))</x:f>
        <x:v>74.02651156073142</x:v>
      </x:c>
      <x:c r="I16" s="14" t="n">
        <x:f>IF(OR(ISBLANK($B$29),$B$29&lt;=0),"нет E",D16*$B$28^3/(48*$B$29*(PI()*$B$26^4/64)))</x:f>
        <x:v>0.888318138728777</x:v>
      </x:c>
      <x:c r="J16" s="14" t="n">
        <x:f>('Провис'!$B$29*COS('Провис'!$B$24*PI()/180)*('Провис'!$B$21+'Провис'!$B$22)*A16+$B$30*'Провис'!$B$29*COS('Провис'!$B$24*PI()/180))/2+'Провис'!$B$23*B16*'Провис'!$B$29*COS('Провис'!$B$24*PI()/180)*(.5+$B$32/$B$25)</x:f>
        <x:v>576.8735272528334</x:v>
      </x:c>
    </x:row>
    <x:row r="17" ht="3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54" customHeight="1">
      <x:c r="A18" s="4" t="str">
        <x:v>k=1/2/3 применён только к местным15кг как чувствительность. Это не установленный коэффициент удара. Допускаемые напряжения, ресурс, контакты/фиксация и коррозия не подтверждены.</x:v>
      </x:c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3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54" customHeight="1">
      <x:c r="A21" s="7" t="str">
        <x:v>Габарит / допущение</x:v>
      </x:c>
      <x:c r="B21" s="7" t="str">
        <x:v>Значение</x:v>
      </x:c>
      <x:c r="C21" s="7" t="str">
        <x:v>Единица</x:v>
      </x:c>
      <x:c r="D21" s="7" t="str">
        <x:v>Статус</x:v>
      </x:c>
      <x:c r="E21" s="2"/>
      <x:c r="F21" s="2"/>
      <x:c r="G21" s="2"/>
      <x:c r="H21" s="2"/>
      <x:c r="I21" s="2"/>
      <x:c r="J21" s="2"/>
    </x:row>
    <x:row r="22" ht="44" customHeight="1">
      <x:c r="A22" s="4" t="str">
        <x:v>D оболочки</x:v>
      </x:c>
      <x:c r="B22" s="12" t="n">
        <x:v>76</x:v>
      </x:c>
      <x:c r="C22" s="4" t="str">
        <x:v>мм</x:v>
      </x:c>
      <x:c r="D22" s="4" t="str">
        <x:v>Кандидат</x:v>
      </x:c>
      <x:c r="E22" s="2"/>
      <x:c r="F22" s="2"/>
      <x:c r="G22" s="2"/>
      <x:c r="H22" s="2"/>
      <x:c r="I22" s="2"/>
      <x:c r="J22" s="2"/>
    </x:row>
    <x:row r="23" ht="44" customHeight="1">
      <x:c r="A23" s="4" t="str">
        <x:v>d оболочки</x:v>
      </x:c>
      <x:c r="B23" s="12" t="n">
        <x:v>70</x:v>
      </x:c>
      <x:c r="C23" s="4" t="str">
        <x:v>мм</x:v>
      </x:c>
      <x:c r="D23" s="4" t="str">
        <x:v>Толщина3мм</x:v>
      </x:c>
      <x:c r="E23" s="2"/>
      <x:c r="F23" s="2"/>
      <x:c r="G23" s="2"/>
      <x:c r="H23" s="2"/>
      <x:c r="I23" s="2"/>
      <x:c r="J23" s="2"/>
    </x:row>
    <x:row r="24" ht="44" customHeight="1">
      <x:c r="A24" s="4" t="str">
        <x:v>Рабочая длина</x:v>
      </x:c>
      <x:c r="B24" s="12" t="n">
        <x:v>540</x:v>
      </x:c>
      <x:c r="C24" s="4" t="str">
        <x:v>мм</x:v>
      </x:c>
      <x:c r="D24" s="4" t="str">
        <x:v>Для ленты500</x:v>
      </x:c>
      <x:c r="E24" s="2"/>
      <x:c r="F24" s="2"/>
      <x:c r="G24" s="2"/>
      <x:c r="H24" s="2"/>
      <x:c r="I24" s="2"/>
      <x:c r="J24" s="2"/>
    </x:row>
    <x:row r="25" ht="44" customHeight="1">
      <x:c r="A25" s="4" t="str">
        <x:v>Пролёт оболочки</x:v>
      </x:c>
      <x:c r="B25" s="12" t="n">
        <x:v>525</x:v>
      </x:c>
      <x:c r="C25" s="4" t="str">
        <x:v>мм</x:v>
      </x:c>
      <x:c r="D25" s="4" t="str">
        <x:v>По серединам подшипников</x:v>
      </x:c>
      <x:c r="E25" s="2"/>
      <x:c r="F25" s="2"/>
      <x:c r="G25" s="2"/>
      <x:c r="H25" s="2"/>
      <x:c r="I25" s="2"/>
      <x:c r="J25" s="2"/>
    </x:row>
    <x:row r="26" ht="44" customHeight="1">
      <x:c r="A26" s="4" t="str">
        <x:v>Диаметр оси</x:v>
      </x:c>
      <x:c r="B26" s="12" t="n">
        <x:v>25</x:v>
      </x:c>
      <x:c r="C26" s="4" t="str">
        <x:v>мм</x:v>
      </x:c>
      <x:c r="D26" s="4" t="str">
        <x:v>Без ступеней/ослаблений</x:v>
      </x:c>
      <x:c r="E26" s="2"/>
      <x:c r="F26" s="2"/>
      <x:c r="G26" s="2"/>
      <x:c r="H26" s="2"/>
      <x:c r="I26" s="2"/>
      <x:c r="J26" s="2"/>
    </x:row>
    <x:row r="27" ht="44" customHeight="1">
      <x:c r="A27" s="4" t="str">
        <x:v>Полная длина оси</x:v>
      </x:c>
      <x:c r="B27" s="12" t="n">
        <x:v>620</x:v>
      </x:c>
      <x:c r="C27" s="4" t="str">
        <x:v>мм</x:v>
      </x:c>
      <x:c r="D27" s="4" t="str">
        <x:v>Габарит</x:v>
      </x:c>
      <x:c r="E27" s="2"/>
      <x:c r="F27" s="2"/>
      <x:c r="G27" s="2"/>
      <x:c r="H27" s="2"/>
      <x:c r="I27" s="2"/>
      <x:c r="J27" s="2"/>
    </x:row>
    <x:row r="28" ht="44" customHeight="1">
      <x:c r="A28" s="4" t="str">
        <x:v>Пролёт оси</x:v>
      </x:c>
      <x:c r="B28" s="12" t="n">
        <x:v>600</x:v>
      </x:c>
      <x:c r="C28" s="4" t="str">
        <x:v>мм</x:v>
      </x:c>
      <x:c r="D28" s="4" t="str">
        <x:v>Опоры на рельсах</x:v>
      </x:c>
      <x:c r="E28" s="2"/>
      <x:c r="F28" s="2"/>
      <x:c r="G28" s="2"/>
      <x:c r="H28" s="2"/>
      <x:c r="I28" s="2"/>
      <x:c r="J28" s="2"/>
    </x:row>
    <x:row r="29" ht="44" customHeight="1">
      <x:c r="A29" s="4" t="str">
        <x:v>E</x:v>
      </x:c>
      <x:c r="B29" s="12" t="n">
        <x:v>200000</x:v>
      </x:c>
      <x:c r="C29" s="4" t="str">
        <x:v>МПа</x:v>
      </x:c>
      <x:c r="D29" s="4" t="str">
        <x:v>Допущение</x:v>
      </x:c>
      <x:c r="E29" s="2"/>
      <x:c r="F29" s="2"/>
      <x:c r="G29" s="2"/>
      <x:c r="H29" s="2"/>
      <x:c r="I29" s="2"/>
      <x:c r="J29" s="2"/>
    </x:row>
    <x:row r="30" ht="44" customHeight="1">
      <x:c r="A30" s="4" t="str">
        <x:v>Масса вращающегося узла</x:v>
      </x:c>
      <x:c r="B30" s="16" t="n">
        <x:v>3.5826442090125</x:v>
      </x:c>
      <x:c r="C30" s="4" t="str">
        <x:v>кг</x:v>
      </x:c>
      <x:c r="D30" s="4" t="str">
        <x:v>Включает целые2подшипника для нагрузки</x:v>
      </x:c>
      <x:c r="E30" s="2"/>
      <x:c r="F30" s="2"/>
      <x:c r="G30" s="2"/>
      <x:c r="H30" s="2"/>
      <x:c r="I30" s="2"/>
      <x:c r="J30" s="2"/>
    </x:row>
    <x:row r="31" ht="44" customHeight="1">
      <x:c r="A31" s="4" t="str">
        <x:v>Масса оси</x:v>
      </x:c>
      <x:c r="B31" s="16" t="n">
        <x:v>2.389083038284613</x:v>
      </x:c>
      <x:c r="C31" s="4" t="str">
        <x:v>кг</x:v>
      </x:c>
      <x:c r="D31" s="4" t="str">
        <x:v>По габариту25×620</x:v>
      </x:c>
      <x:c r="E31" s="2"/>
      <x:c r="F31" s="2"/>
      <x:c r="G31" s="2"/>
      <x:c r="H31" s="2"/>
      <x:c r="I31" s="2"/>
      <x:c r="J31" s="2"/>
    </x:row>
    <x:row r="32" ht="44" customHeight="1">
      <x:c r="A32" s="4" t="str">
        <x:v>Поперечное смещение15кг</x:v>
      </x:c>
      <x:c r="B32" s="12" t="n">
        <x:v>250</x:v>
      </x:c>
      <x:c r="C32" s="4" t="str">
        <x:v>мм</x:v>
      </x:c>
      <x:c r="D32" s="4" t="str">
        <x:v>Край ленты:±250</x:v>
      </x:c>
      <x:c r="E32" s="2"/>
      <x:c r="F32" s="2"/>
      <x:c r="G32" s="2"/>
      <x:c r="H32" s="2"/>
      <x:c r="I32" s="2"/>
      <x:c r="J32" s="2"/>
    </x:row>
    <x:row r="33" ht="3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54" customHeight="1">
      <x:c r="A34" s="4" t="str">
        <x:v>Подшипник25×52×15мм — только габаритный кандидат SKF6205-2RSH. Его масса0,13кг взята из каталога; ресурс и пригодность к воде/отбросам ещё не проверены. CAD не меняется автоматически при редактировании книги.</x:v>
      </x:c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3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54" customHeight="1">
      <x:c r="A36" s="4" t="str">
        <x:v>https://cdn.skfmediahub.skf.com/api/public/0901d196802809de/pdf_preview_medium/0901d196802809de_pdf_preview_medium.pdf</x:v>
      </x:c>
      <x:c r="B36" s="4"/>
      <x:c r="C36" s="4"/>
      <x:c r="D36" s="4"/>
      <x:c r="E36" s="4"/>
      <x:c r="F36" s="4"/>
      <x:c r="G36" s="4"/>
      <x:c r="H36" s="4"/>
      <x:c r="I36" s="4"/>
      <x:c r="J36" s="4"/>
    </x:row>
  </x:sheetData>
  <x:mergeCells>
    <x:mergeCell ref="A4:J4"/>
    <x:mergeCell ref="A18:J18"/>
    <x:mergeCell ref="A34:J34"/>
    <x:mergeCell ref="A36:J36"/>
  </x:mergeCells>
  <x:pageMargins left="0.7" right="0.7" top="0.75" bottom="0.75" header="0.3" footer="0.3"/>
</x:worksheet>
</file>