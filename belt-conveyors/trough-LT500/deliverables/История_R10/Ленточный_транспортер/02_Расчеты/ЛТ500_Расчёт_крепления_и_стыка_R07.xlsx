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93241fbe6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единение" sheetId="1" r:id="R19f62897e0f74d57"/>
    <x:sheet xmlns:r="http://schemas.openxmlformats.org/officeDocument/2006/relationships" name="Параметры" sheetId="2" r:id="R147c54bfe053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"/>
    <x:numFmt numFmtId="202" formatCode="0.00000"/>
  </x:numFmts>
  <x:fonts count="4">
    <x:font>
      <x:sz val="11"/>
      <x:name val="Carlito"/>
    </x:font>
    <x:font>
      <x:sz val="11"/>
      <x:color rgb="FF202A33"/>
      <x:name val="Arial"/>
    </x:font>
    <x:font>
      <x:b/>
      <x:sz val="15"/>
      <x:color rgb="FF202A3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C52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8d21f48da4884" /><Relationship Type="http://schemas.openxmlformats.org/officeDocument/2006/relationships/theme" Target="/xl/theme/theme1.xml" Id="R8681eae3e39d40e1" /><Relationship Type="http://schemas.openxmlformats.org/officeDocument/2006/relationships/sharedStrings" Target="/xl/sharedStrings.xml" Id="R2a753fb302dd4532" /><Relationship Type="http://schemas.openxmlformats.org/officeDocument/2006/relationships/worksheet" Target="/xl/worksheets/sheet1.xml" Id="R19f62897e0f74d57" /><Relationship Type="http://schemas.openxmlformats.org/officeDocument/2006/relationships/worksheet" Target="/xl/worksheets/sheet2.xml" Id="R147c54bfe0534b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2" hidden="0" customWidth="1"/>
    <x:col min="5" max="5" width="22" hidden="0" customWidth="1"/>
    <x:col min="6" max="6" width="23" hidden="0" customWidth="1"/>
    <x:col min="7" max="7" width="22" hidden="0" customWidth="1"/>
    <x:col min="8" max="8" width="24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Крепление седел и стык R07</x:v>
      </x:c>
      <x:c r="B2" s="2"/>
      <x:c r="C2" s="2"/>
      <x:c r="D2" s="2"/>
      <x:c r="E2" s="2"/>
      <x:c r="F2" s="2"/>
      <x:c r="G2" s="2"/>
      <x:c r="H2" s="2"/>
    </x:row>
    <x:row r="3" ht="30" customHeight="1">
      <x:c r="A3" s="2"/>
      <x:c r="B3" s="2"/>
      <x:c r="C3" s="2"/>
      <x:c r="D3" s="2"/>
      <x:c r="E3" s="2"/>
      <x:c r="F3" s="2"/>
      <x:c r="G3" s="2"/>
      <x:c r="H3" s="2"/>
    </x:row>
    <x:row r="4" ht="45" customHeight="1">
      <x:c r="A4" s="2" t="str">
        <x:v>Несущая способность</x:v>
      </x:c>
      <x:c r="B4" s="2"/>
      <x:c r="C4" s="7" t="str">
        <x:v>Не утверждена: силы ленты и допускаемые сопротивления неизвестны</x:v>
      </x:c>
      <x:c r="D4" s="7"/>
      <x:c r="E4" s="7"/>
      <x:c r="F4" s="7"/>
      <x:c r="G4" s="7"/>
      <x:c r="H4" s="7"/>
    </x:row>
    <x:row r="5" ht="30" customHeight="1">
      <x:c r="A5" s="2"/>
      <x:c r="B5" s="2"/>
      <x:c r="C5" s="2"/>
      <x:c r="D5" s="2"/>
      <x:c r="E5" s="2"/>
      <x:c r="F5" s="2"/>
      <x:c r="G5" s="2"/>
      <x:c r="H5" s="2"/>
    </x:row>
    <x:row r="6" ht="30" customHeight="1">
      <x:c r="A6" s="2" t="str">
        <x:v>Масса опоры, кг</x:v>
      </x:c>
      <x:c r="B6" s="2"/>
      <x:c r="C6" s="11" t="n">
        <x:f>'Параметры'!B10</x:f>
        <x:v>25.85112205349987</x:v>
      </x:c>
      <x:c r="D6" s="2"/>
      <x:c r="E6" s="7" t="str">
        <x:v>Все силы целиком на одну связь; момент через стык в R04 не используется.</x:v>
      </x:c>
      <x:c r="F6" s="7"/>
      <x:c r="G6" s="7"/>
      <x:c r="H6" s="7"/>
    </x:row>
    <x:row r="7" ht="30" customHeight="1">
      <x:c r="A7" s="2" t="str">
        <x:v>Условная P, Н</x:v>
      </x:c>
      <x:c r="B7" s="2"/>
      <x:c r="C7" s="11" t="n">
        <x:f>'Параметры'!B11</x:f>
        <x:v>1534.2917480947488</x:v>
      </x:c>
      <x:c r="D7" s="2"/>
      <x:c r="E7" s="7"/>
      <x:c r="F7" s="7"/>
      <x:c r="G7" s="7"/>
      <x:c r="H7" s="7"/>
    </x:row>
    <x:row r="8" ht="30" customHeight="1">
      <x:c r="A8" s="2" t="str">
        <x:v>Скатывание при 2°, Н</x:v>
      </x:c>
      <x:c r="B8" s="2"/>
      <x:c r="C8" s="11" t="n">
        <x:f>C7*SIN('Параметры'!B12*PI()/180)</x:f>
        <x:v>53.54600980330713</x:v>
      </x:c>
      <x:c r="D8" s="2"/>
      <x:c r="E8" s="7"/>
      <x:c r="F8" s="7"/>
      <x:c r="G8" s="7"/>
      <x:c r="H8" s="7"/>
    </x:row>
    <x:row r="9" ht="30" customHeight="1">
      <x:c r="A9" s="2" t="str">
        <x:v>δ пластины, мм</x:v>
      </x:c>
      <x:c r="B9" s="2"/>
      <x:c r="C9" s="11" t="n">
        <x:f>IF(OR(ISBLANK('Параметры'!B6),'Параметры'!B6&lt;=0),"нет E",C7*'Параметры'!B34^3/(48*'Параметры'!B6*('Параметры'!B32*'Параметры'!B33^3/12)))</x:f>
        <x:v>0.04103407950070166</x:v>
      </x:c>
      <x:c r="D9" s="2"/>
      <x:c r="E9" s="7"/>
      <x:c r="F9" s="7"/>
      <x:c r="G9" s="7"/>
      <x:c r="H9" s="7"/>
    </x:row>
    <x:row r="10" ht="30" customHeight="1">
      <x:c r="A10" s="2" t="str">
        <x:v>Зазор шайбы/щеки, мм</x:v>
      </x:c>
      <x:c r="B10" s="2"/>
      <x:c r="C10" s="11" t="n">
        <x:f>('Параметры'!B29-'Параметры'!B28)/2</x:f>
        <x:v>0.5</x:v>
      </x:c>
      <x:c r="D10" s="2"/>
      <x:c r="E10" s="7"/>
      <x:c r="F10" s="7"/>
      <x:c r="G10" s="7"/>
      <x:c r="H10" s="7"/>
    </x:row>
    <x:row r="11" ht="30" customHeight="1">
      <x:c r="A11" s="2"/>
      <x:c r="B11" s="2"/>
      <x:c r="C11" s="2"/>
      <x:c r="D11" s="2"/>
      <x:c r="E11" s="2"/>
      <x:c r="F11" s="2"/>
      <x:c r="G11" s="2"/>
      <x:c r="H11" s="2"/>
    </x:row>
    <x:row r="12" ht="30" customHeight="1">
      <x:c r="A12" s="2"/>
      <x:c r="B12" s="2"/>
      <x:c r="C12" s="2"/>
      <x:c r="D12" s="2"/>
      <x:c r="E12" s="2"/>
      <x:c r="F12" s="2"/>
      <x:c r="G12" s="2"/>
      <x:c r="H12" s="2"/>
    </x:row>
    <x:row r="13" ht="55" customHeight="1">
      <x:c r="A13" s="6" t="str">
        <x:v>Связь</x:v>
      </x:c>
      <x:c r="B13" s="6" t="str">
        <x:v>F, Н</x:v>
      </x:c>
      <x:c r="C13" s="6" t="str">
        <x:v>σ втулки, МПа</x:v>
      </x:c>
      <x:c r="D13" s="6" t="str">
        <x:v>δ втулки, мм</x:v>
      </x:c>
      <x:c r="E13" s="6" t="str">
        <x:v>τ болта, МПа</x:v>
      </x:c>
      <x:c r="F13" s="6" t="str">
        <x:v>σ голого болта, МПа</x:v>
      </x:c>
      <x:c r="G13" s="6" t="str">
        <x:v>p направл., МПа</x:v>
      </x:c>
      <x:c r="H13" s="6" t="str">
        <x:v>p рельса/седла, МПа</x:v>
      </x:c>
    </x:row>
    <x:row r="14" ht="30" customHeight="1">
      <x:c r="A14" s="2" t="str">
        <x:v>Модуль</x:v>
      </x:c>
      <x:c r="B14" s="12" t="n">
        <x:f>$C$8</x:f>
        <x:v>53.54600980330713</x:v>
      </x:c>
      <x:c r="C14" s="12" t="n">
        <x:f>IF(NOT(ISNUMBER(B14)),"не задано",B14*'Параметры'!B13/4*('Параметры'!B16/2)/'Параметры'!B36)</x:f>
        <x:v>1.6884873294371205</x:v>
      </x:c>
      <x:c r="D14" s="13" t="n">
        <x:f>IF(NOT(ISNUMBER(B14)),"не задано",IF(OR(ISBLANK('Параметры'!B6),'Параметры'!B6&lt;=0),"нет E",B14*'Параметры'!B13^3/(48*'Параметры'!B6*'Параметры'!B36)))</x:f>
        <x:v>0.0005698644736850282</x:v>
      </x:c>
      <x:c r="E14" s="12" t="n">
        <x:f>IF(NOT(ISNUMBER(B14)),"не задано",B14/(2*'Параметры'!B15))</x:f>
        <x:v>0.4616035327871304</x:v>
      </x:c>
      <x:c r="F14" s="12" t="n">
        <x:f>IF(NOT(ISNUMBER(B14)),"не задано",8*B14*'Параметры'!B13/(PI()*'Параметры'!B14^3))</x:f>
        <x:v>12.27184148598252</x:v>
      </x:c>
      <x:c r="G14" s="12" t="n">
        <x:f>IF(NOT(ISNUMBER(B14)),"не задано",B14/(2*'Параметры'!B22*'Параметры'!B16))</x:f>
        <x:v>0.22310837418044638</x:v>
      </x:c>
      <x:c r="H14" s="12" t="n">
        <x:f>IF(NOT(ISNUMBER(B14)),"не задано",B14/(2*'Параметры'!B23*'Параметры'!B16))</x:f>
        <x:v>0.44621674836089276</x:v>
      </x:c>
    </x:row>
    <x:row r="15" ht="30" customHeight="1">
      <x:c r="A15" s="2" t="str">
        <x:v>Модуль</x:v>
      </x:c>
      <x:c r="B15" s="12" t="n">
        <x:v>500</x:v>
      </x:c>
      <x:c r="C15" s="12" t="n">
        <x:f>IF(NOT(ISNUMBER(B15)),"не задано",B15*'Параметры'!B13/4*('Параметры'!B16/2)/'Параметры'!B36)</x:f>
        <x:v>15.766696114607923</x:v>
      </x:c>
      <x:c r="D15" s="13" t="n">
        <x:f>IF(NOT(ISNUMBER(B15)),"не задано",IF(OR(ISBLANK('Параметры'!B6),'Параметры'!B6&lt;=0),"нет E",B15*'Параметры'!B13^3/(48*'Параметры'!B6*'Параметры'!B36)))</x:f>
        <x:v>0.005321259938680174</x:v>
      </x:c>
      <x:c r="E15" s="12" t="n">
        <x:f>IF(NOT(ISNUMBER(B15)),"не задано",B15/(2*'Параметры'!B15))</x:f>
        <x:v>4.310344827586207</x:v>
      </x:c>
      <x:c r="F15" s="12" t="n">
        <x:f>IF(NOT(ISNUMBER(B15)),"не задано",8*B15*'Параметры'!B13/(PI()*'Параметры'!B14^3))</x:f>
        <x:v>114.59155902616466</x:v>
      </x:c>
      <x:c r="G15" s="12" t="n">
        <x:f>IF(NOT(ISNUMBER(B15)),"не задано",B15/(2*'Параметры'!B22*'Параметры'!B16))</x:f>
        <x:v>2.0833333333333335</x:v>
      </x:c>
      <x:c r="H15" s="12" t="n">
        <x:f>IF(NOT(ISNUMBER(B15)),"не задано",B15/(2*'Параметры'!B23*'Параметры'!B16))</x:f>
        <x:v>4.166666666666667</x:v>
      </x:c>
    </x:row>
    <x:row r="16" ht="30" customHeight="1">
      <x:c r="A16" s="2" t="str">
        <x:v>Модуль</x:v>
      </x:c>
      <x:c r="B16" s="12" t="n">
        <x:v>1000</x:v>
      </x:c>
      <x:c r="C16" s="12" t="n">
        <x:f>IF(NOT(ISNUMBER(B16)),"не задано",B16*'Параметры'!B13/4*('Параметры'!B16/2)/'Параметры'!B36)</x:f>
        <x:v>31.533392229215846</x:v>
      </x:c>
      <x:c r="D16" s="13" t="n">
        <x:f>IF(NOT(ISNUMBER(B16)),"не задано",IF(OR(ISBLANK('Параметры'!B6),'Параметры'!B6&lt;=0),"нет E",B16*'Параметры'!B13^3/(48*'Параметры'!B6*'Параметры'!B36)))</x:f>
        <x:v>0.010642519877360347</x:v>
      </x:c>
      <x:c r="E16" s="12" t="n">
        <x:f>IF(NOT(ISNUMBER(B16)),"не задано",B16/(2*'Параметры'!B15))</x:f>
        <x:v>8.620689655172415</x:v>
      </x:c>
      <x:c r="F16" s="12" t="n">
        <x:f>IF(NOT(ISNUMBER(B16)),"не задано",8*B16*'Параметры'!B13/(PI()*'Параметры'!B14^3))</x:f>
        <x:v>229.18311805232932</x:v>
      </x:c>
      <x:c r="G16" s="12" t="n">
        <x:f>IF(NOT(ISNUMBER(B16)),"не задано",B16/(2*'Параметры'!B22*'Параметры'!B16))</x:f>
        <x:v>4.166666666666667</x:v>
      </x:c>
      <x:c r="H16" s="12" t="n">
        <x:f>IF(NOT(ISNUMBER(B16)),"не задано",B16/(2*'Параметры'!B23*'Параметры'!B16))</x:f>
        <x:v>8.333333333333334</x:v>
      </x:c>
    </x:row>
    <x:row r="17" ht="30" customHeight="1">
      <x:c r="A17" s="2" t="str">
        <x:v>Модуль</x:v>
      </x:c>
      <x:c r="B17" s="12" t="n">
        <x:v>2000</x:v>
      </x:c>
      <x:c r="C17" s="12" t="n">
        <x:f>IF(NOT(ISNUMBER(B17)),"не задано",B17*'Параметры'!B13/4*('Параметры'!B16/2)/'Параметры'!B36)</x:f>
        <x:v>63.06678445843169</x:v>
      </x:c>
      <x:c r="D17" s="13" t="n">
        <x:f>IF(NOT(ISNUMBER(B17)),"не задано",IF(OR(ISBLANK('Параметры'!B6),'Параметры'!B6&lt;=0),"нет E",B17*'Параметры'!B13^3/(48*'Параметры'!B6*'Параметры'!B36)))</x:f>
        <x:v>0.021285039754720694</x:v>
      </x:c>
      <x:c r="E17" s="12" t="n">
        <x:f>IF(NOT(ISNUMBER(B17)),"не задано",B17/(2*'Параметры'!B15))</x:f>
        <x:v>17.24137931034483</x:v>
      </x:c>
      <x:c r="F17" s="12" t="n">
        <x:f>IF(NOT(ISNUMBER(B17)),"не задано",8*B17*'Параметры'!B13/(PI()*'Параметры'!B14^3))</x:f>
        <x:v>458.36623610465864</x:v>
      </x:c>
      <x:c r="G17" s="12" t="n">
        <x:f>IF(NOT(ISNUMBER(B17)),"не задано",B17/(2*'Параметры'!B22*'Параметры'!B16))</x:f>
        <x:v>8.333333333333334</x:v>
      </x:c>
      <x:c r="H17" s="12" t="n">
        <x:f>IF(NOT(ISNUMBER(B17)),"не задано",B17/(2*'Параметры'!B23*'Параметры'!B16))</x:f>
        <x:v>16.666666666666668</x:v>
      </x:c>
    </x:row>
    <x:row r="18" ht="30" customHeight="1">
      <x:c r="A18" s="2" t="str">
        <x:v>Модуль</x:v>
      </x:c>
      <x:c r="B18" s="12" t="n">
        <x:v>5000</x:v>
      </x:c>
      <x:c r="C18" s="12" t="n">
        <x:f>IF(NOT(ISNUMBER(B18)),"не задано",B18*'Параметры'!B13/4*('Параметры'!B16/2)/'Параметры'!B36)</x:f>
        <x:v>157.66696114607922</x:v>
      </x:c>
      <x:c r="D18" s="13" t="n">
        <x:f>IF(NOT(ISNUMBER(B18)),"не задано",IF(OR(ISBLANK('Параметры'!B6),'Параметры'!B6&lt;=0),"нет E",B18*'Параметры'!B13^3/(48*'Параметры'!B6*'Параметры'!B36)))</x:f>
        <x:v>0.053212599386801736</x:v>
      </x:c>
      <x:c r="E18" s="12" t="n">
        <x:f>IF(NOT(ISNUMBER(B18)),"не задано",B18/(2*'Параметры'!B15))</x:f>
        <x:v>43.10344827586207</x:v>
      </x:c>
      <x:c r="F18" s="12" t="n">
        <x:f>IF(NOT(ISNUMBER(B18)),"не задано",8*B18*'Параметры'!B13/(PI()*'Параметры'!B14^3))</x:f>
        <x:v>1145.9155902616465</x:v>
      </x:c>
      <x:c r="G18" s="12" t="n">
        <x:f>IF(NOT(ISNUMBER(B18)),"не задано",B18/(2*'Параметры'!B22*'Параметры'!B16))</x:f>
        <x:v>20.833333333333332</x:v>
      </x:c>
      <x:c r="H18" s="12" t="n">
        <x:f>IF(NOT(ISNUMBER(B18)),"не задано",B18/(2*'Параметры'!B23*'Параметры'!B16))</x:f>
        <x:v>41.666666666666664</x:v>
      </x:c>
    </x:row>
    <x:row r="19" ht="30" customHeight="1">
      <x:c r="A19" s="2" t="str">
        <x:v>Седло</x:v>
      </x:c>
      <x:c r="B19" s="12" t="n">
        <x:f>$C$8</x:f>
        <x:v>53.54600980330713</x:v>
      </x:c>
      <x:c r="C19" s="12" t="n">
        <x:f>IF(NOT(ISNUMBER(B19)),"не задано",B19*'Параметры'!B13/4*('Параметры'!B20/2)/'Параметры'!B37)</x:f>
        <x:v>14.938447780013567</x:v>
      </x:c>
      <x:c r="D19" s="13" t="n">
        <x:f>IF(NOT(ISNUMBER(B19)),"не задано",IF(OR(ISBLANK('Параметры'!B6),'Параметры'!B6&lt;=0),"нет E",B19*'Параметры'!B13^3/(48*'Параметры'!B6*'Параметры'!B37)))</x:f>
        <x:v>0.010083452251509159</x:v>
      </x:c>
      <x:c r="E19" s="12" t="n">
        <x:f>IF(NOT(ISNUMBER(B19)),"не задано",B19/(2*'Параметры'!B19))</x:f>
        <x:v>1.331990293614605</x:v>
      </x:c>
      <x:c r="F19" s="12" t="n">
        <x:f>IF(NOT(ISNUMBER(B19)),"не задано",8*B19*'Параметры'!B13/(PI()*'Параметры'!B18^3))</x:f>
        <x:v>56.81408095362278</x:v>
      </x:c>
      <x:c r="G19" s="12" t="n">
        <x:f>IF(NOT(ISNUMBER(B19)),"не задано",B19/(2*'Параметры'!B22*'Параметры'!B20))</x:f>
        <x:v>0.44621674836089276</x:v>
      </x:c>
      <x:c r="H19" s="12" t="n">
        <x:f>IF(NOT(ISNUMBER(B19)),"не задано",B19/('Параметры'!B24*'Параметры'!B20))</x:f>
        <x:v>0.06693251225413391</x:v>
      </x:c>
    </x:row>
    <x:row r="20" ht="30" customHeight="1">
      <x:c r="A20" s="2" t="str">
        <x:v>Седло</x:v>
      </x:c>
      <x:c r="B20" s="12" t="n">
        <x:v>500</x:v>
      </x:c>
      <x:c r="C20" s="12" t="n">
        <x:f>IF(NOT(ISNUMBER(B20)),"не задано",B20*'Параметры'!B13/4*('Параметры'!B20/2)/'Параметры'!B37)</x:f>
        <x:v>139.491699147029</x:v>
      </x:c>
      <x:c r="D20" s="13" t="n">
        <x:f>IF(NOT(ISNUMBER(B20)),"не задано",IF(OR(ISBLANK('Параметры'!B6),'Параметры'!B6&lt;=0),"нет E",B20*'Параметры'!B13^3/(48*'Параметры'!B6*'Параметры'!B37)))</x:f>
        <x:v>0.09415689692424457</x:v>
      </x:c>
      <x:c r="E20" s="12" t="n">
        <x:f>IF(NOT(ISNUMBER(B20)),"не задано",B20/(2*'Параметры'!B19))</x:f>
        <x:v>12.43781094527363</x:v>
      </x:c>
      <x:c r="F20" s="12" t="n">
        <x:f>IF(NOT(ISNUMBER(B20)),"не задано",8*B20*'Параметры'!B13/(PI()*'Параметры'!B18^3))</x:f>
        <x:v>530.5164769729845</x:v>
      </x:c>
      <x:c r="G20" s="12" t="n">
        <x:f>IF(NOT(ISNUMBER(B20)),"не задано",B20/(2*'Параметры'!B22*'Параметры'!B20))</x:f>
        <x:v>4.166666666666667</x:v>
      </x:c>
      <x:c r="H20" s="12" t="n">
        <x:f>IF(NOT(ISNUMBER(B20)),"не задано",B20/('Параметры'!B24*'Параметры'!B20))</x:f>
        <x:v>0.625</x:v>
      </x:c>
    </x:row>
    <x:row r="21" ht="30" customHeight="1">
      <x:c r="A21" s="2" t="str">
        <x:v>Седло</x:v>
      </x:c>
      <x:c r="B21" s="12" t="n">
        <x:v>1000</x:v>
      </x:c>
      <x:c r="C21" s="12" t="n">
        <x:f>IF(NOT(ISNUMBER(B21)),"не задано",B21*'Параметры'!B13/4*('Параметры'!B20/2)/'Параметры'!B37)</x:f>
        <x:v>278.983398294058</x:v>
      </x:c>
      <x:c r="D21" s="13" t="n">
        <x:f>IF(NOT(ISNUMBER(B21)),"не задано",IF(OR(ISBLANK('Параметры'!B6),'Параметры'!B6&lt;=0),"нет E",B21*'Параметры'!B13^3/(48*'Параметры'!B6*'Параметры'!B37)))</x:f>
        <x:v>0.18831379384848915</x:v>
      </x:c>
      <x:c r="E21" s="12" t="n">
        <x:f>IF(NOT(ISNUMBER(B21)),"не задано",B21/(2*'Параметры'!B19))</x:f>
        <x:v>24.87562189054726</x:v>
      </x:c>
      <x:c r="F21" s="12" t="n">
        <x:f>IF(NOT(ISNUMBER(B21)),"не задано",8*B21*'Параметры'!B13/(PI()*'Параметры'!B18^3))</x:f>
        <x:v>1061.032953945969</x:v>
      </x:c>
      <x:c r="G21" s="12" t="n">
        <x:f>IF(NOT(ISNUMBER(B21)),"не задано",B21/(2*'Параметры'!B22*'Параметры'!B20))</x:f>
        <x:v>8.333333333333334</x:v>
      </x:c>
      <x:c r="H21" s="12" t="n">
        <x:f>IF(NOT(ISNUMBER(B21)),"не задано",B21/('Параметры'!B24*'Параметры'!B20))</x:f>
        <x:v>1.25</x:v>
      </x:c>
    </x:row>
    <x:row r="22" ht="30" customHeight="1">
      <x:c r="A22" s="2" t="str">
        <x:v>Седло</x:v>
      </x:c>
      <x:c r="B22" s="12" t="n">
        <x:v>2000</x:v>
      </x:c>
      <x:c r="C22" s="12" t="n">
        <x:f>IF(NOT(ISNUMBER(B22)),"не задано",B22*'Параметры'!B13/4*('Параметры'!B20/2)/'Параметры'!B37)</x:f>
        <x:v>557.966796588116</x:v>
      </x:c>
      <x:c r="D22" s="13" t="n">
        <x:f>IF(NOT(ISNUMBER(B22)),"не задано",IF(OR(ISBLANK('Параметры'!B6),'Параметры'!B6&lt;=0),"нет E",B22*'Параметры'!B13^3/(48*'Параметры'!B6*'Параметры'!B37)))</x:f>
        <x:v>0.3766275876969783</x:v>
      </x:c>
      <x:c r="E22" s="12" t="n">
        <x:f>IF(NOT(ISNUMBER(B22)),"не задано",B22/(2*'Параметры'!B19))</x:f>
        <x:v>49.75124378109452</x:v>
      </x:c>
      <x:c r="F22" s="12" t="n">
        <x:f>IF(NOT(ISNUMBER(B22)),"не задано",8*B22*'Параметры'!B13/(PI()*'Параметры'!B18^3))</x:f>
        <x:v>2122.065907891938</x:v>
      </x:c>
      <x:c r="G22" s="12" t="n">
        <x:f>IF(NOT(ISNUMBER(B22)),"не задано",B22/(2*'Параметры'!B22*'Параметры'!B20))</x:f>
        <x:v>16.666666666666668</x:v>
      </x:c>
      <x:c r="H22" s="12" t="n">
        <x:f>IF(NOT(ISNUMBER(B22)),"не задано",B22/('Параметры'!B24*'Параметры'!B20))</x:f>
        <x:v>2.5</x:v>
      </x:c>
    </x:row>
    <x:row r="23" ht="30" customHeight="1">
      <x:c r="A23" s="2" t="str">
        <x:v>Седло</x:v>
      </x:c>
      <x:c r="B23" s="12" t="n">
        <x:v>5000</x:v>
      </x:c>
      <x:c r="C23" s="12" t="n">
        <x:f>IF(NOT(ISNUMBER(B23)),"не задано",B23*'Параметры'!B13/4*('Параметры'!B20/2)/'Параметры'!B37)</x:f>
        <x:v>1394.91699147029</x:v>
      </x:c>
      <x:c r="D23" s="13" t="n">
        <x:f>IF(NOT(ISNUMBER(B23)),"не задано",IF(OR(ISBLANK('Параметры'!B6),'Параметры'!B6&lt;=0),"нет E",B23*'Параметры'!B13^3/(48*'Параметры'!B6*'Параметры'!B37)))</x:f>
        <x:v>0.9415689692424457</x:v>
      </x:c>
      <x:c r="E23" s="12" t="n">
        <x:f>IF(NOT(ISNUMBER(B23)),"не задано",B23/(2*'Параметры'!B19))</x:f>
        <x:v>124.37810945273631</x:v>
      </x:c>
      <x:c r="F23" s="12" t="n">
        <x:f>IF(NOT(ISNUMBER(B23)),"не задано",8*B23*'Параметры'!B13/(PI()*'Параметры'!B18^3))</x:f>
        <x:v>5305.164769729845</x:v>
      </x:c>
      <x:c r="G23" s="12" t="n">
        <x:f>IF(NOT(ISNUMBER(B23)),"не задано",B23/(2*'Параметры'!B22*'Параметры'!B20))</x:f>
        <x:v>41.666666666666664</x:v>
      </x:c>
      <x:c r="H23" s="12" t="n">
        <x:f>IF(NOT(ISNUMBER(B23)),"не задано",B23/('Параметры'!B24*'Параметры'!B20))</x:f>
        <x:v>6.25</x:v>
      </x:c>
    </x:row>
    <x:row r="24" ht="30" customHeight="1">
      <x:c r="A24" s="2" t="str">
        <x:v>Модуль</x:v>
      </x:c>
      <x:c r="B24" s="12" t="str">
        <x:f>IF(ISBLANK('Параметры'!B8),"не задано",'Параметры'!B8)</x:f>
        <x:v>не задано</x:v>
      </x:c>
      <x:c r="C24" s="12" t="str">
        <x:f>IF(NOT(ISNUMBER(B24)),"не задано",B24*'Параметры'!B13/4*('Параметры'!B16/2)/'Параметры'!B36)</x:f>
        <x:v>не задано</x:v>
      </x:c>
      <x:c r="D24" s="13" t="str">
        <x:f>IF(NOT(ISNUMBER(B24)),"не задано",IF(OR(ISBLANK('Параметры'!B6),'Параметры'!B6&lt;=0),"нет E",B24*'Параметры'!B13^3/(48*'Параметры'!B6*'Параметры'!B36)))</x:f>
        <x:v>не задано</x:v>
      </x:c>
      <x:c r="E24" s="12" t="str">
        <x:f>IF(NOT(ISNUMBER(B24)),"не задано",B24/(2*'Параметры'!B15))</x:f>
        <x:v>не задано</x:v>
      </x:c>
      <x:c r="F24" s="12" t="str">
        <x:f>IF(NOT(ISNUMBER(B24)),"не задано",8*B24*'Параметры'!B13/(PI()*'Параметры'!B14^3))</x:f>
        <x:v>не задано</x:v>
      </x:c>
      <x:c r="G24" s="12" t="str">
        <x:f>IF(NOT(ISNUMBER(B24)),"не задано",B24/(2*'Параметры'!B22*'Параметры'!B16))</x:f>
        <x:v>не задано</x:v>
      </x:c>
      <x:c r="H24" s="12" t="str">
        <x:f>IF(NOT(ISNUMBER(B24)),"не задано",B24/(2*'Параметры'!B23*'Параметры'!B16))</x:f>
        <x:v>не задано</x:v>
      </x:c>
    </x:row>
    <x:row r="25" ht="30" customHeight="1">
      <x:c r="A25" s="2" t="str">
        <x:v>Седло</x:v>
      </x:c>
      <x:c r="B25" s="12" t="str">
        <x:f>IF(ISBLANK('Параметры'!B8),"не задано",'Параметры'!B8)</x:f>
        <x:v>не задано</x:v>
      </x:c>
      <x:c r="C25" s="12" t="str">
        <x:f>IF(NOT(ISNUMBER(B25)),"не задано",B25*'Параметры'!B13/4*('Параметры'!B20/2)/'Параметры'!B37)</x:f>
        <x:v>не задано</x:v>
      </x:c>
      <x:c r="D25" s="13" t="str">
        <x:f>IF(NOT(ISNUMBER(B25)),"не задано",IF(OR(ISBLANK('Параметры'!B6),'Параметры'!B6&lt;=0),"нет E",B25*'Параметры'!B13^3/(48*'Параметры'!B6*'Параметры'!B37)))</x:f>
        <x:v>не задано</x:v>
      </x:c>
      <x:c r="E25" s="12" t="str">
        <x:f>IF(NOT(ISNUMBER(B25)),"не задано",B25/(2*'Параметры'!B19))</x:f>
        <x:v>не задано</x:v>
      </x:c>
      <x:c r="F25" s="12" t="str">
        <x:f>IF(NOT(ISNUMBER(B25)),"не задано",8*B25*'Параметры'!B13/(PI()*'Параметры'!B18^3))</x:f>
        <x:v>не задано</x:v>
      </x:c>
      <x:c r="G25" s="12" t="str">
        <x:f>IF(NOT(ISNUMBER(B25)),"не задано",B25/(2*'Параметры'!B22*'Параметры'!B20))</x:f>
        <x:v>не задано</x:v>
      </x:c>
      <x:c r="H25" s="12" t="str">
        <x:f>IF(NOT(ISNUMBER(B25)),"не задано",B25/('Параметры'!B24*'Параметры'!B20))</x:f>
        <x:v>не задано</x:v>
      </x:c>
    </x:row>
    <x:row r="26" ht="30" customHeight="1">
      <x:c r="A26" s="2"/>
      <x:c r="B26" s="2"/>
      <x:c r="C26" s="2"/>
      <x:c r="D26" s="2"/>
      <x:c r="E26" s="2"/>
      <x:c r="F26" s="2"/>
      <x:c r="G26" s="2"/>
      <x:c r="H26" s="2"/>
    </x:row>
    <x:row r="27" ht="58" customHeight="1">
      <x:c r="A27" s="7" t="str">
        <x:v>14/19 — только скатывающая составляющая; 15–18/20–23 — примеры F. 24–25 — действительная сила, сейчас неизвестна. σ голого болта — отдельная крайняя схема, не распределение силы между болтом и втулкой.</x:v>
      </x:c>
      <x:c r="B27" s="7"/>
      <x:c r="C27" s="7"/>
      <x:c r="D27" s="7"/>
      <x:c r="E27" s="7"/>
      <x:c r="F27" s="7"/>
      <x:c r="G27" s="7"/>
      <x:c r="H27" s="7"/>
    </x:row>
    <x:row r="28" ht="30" customHeight="1">
      <x:c r="A28" s="2"/>
      <x:c r="B28" s="2"/>
      <x:c r="C28" s="2"/>
      <x:c r="D28" s="2"/>
      <x:c r="E28" s="2"/>
      <x:c r="F28" s="2"/>
      <x:c r="G28" s="2"/>
      <x:c r="H28" s="2"/>
    </x:row>
    <x:row r="29" ht="55" customHeight="1">
      <x:c r="A29" s="6" t="str">
        <x:v>Уклон, град</x:v>
      </x:c>
      <x:c r="B29" s="6" t="str">
        <x:v>Ход, мм</x:v>
      </x:c>
      <x:c r="C29" s="6" t="str">
        <x:v>Δy, мм</x:v>
      </x:c>
      <x:c r="D29" s="6" t="str">
        <x:v>Остаток зазора, мм</x:v>
      </x:c>
      <x:c r="E29" s="2"/>
      <x:c r="F29" s="7" t="str">
        <x:v>Допуски, покрытие и температурный диапазон не заданы; ±6 мм подтверждены только как номинальная геометрия.</x:v>
      </x:c>
      <x:c r="G29" s="7"/>
      <x:c r="H29" s="7"/>
    </x:row>
    <x:row r="30" ht="30" customHeight="1">
      <x:c r="A30" s="2" t="n">
        <x:v>1</x:v>
      </x:c>
      <x:c r="B30" s="12" t="n">
        <x:f>'Параметры'!B27</x:f>
        <x:v>6</x:v>
      </x:c>
      <x:c r="C30" s="12" t="n">
        <x:f>B30*TAN(A30*PI()/180)</x:f>
        <x:v>0.10473038956930551</x:v>
      </x:c>
      <x:c r="D30" s="12" t="n">
        <x:f>('Параметры'!B25-'Параметры'!B26)/2-C30</x:f>
        <x:v>0.3952696104306945</x:v>
      </x:c>
      <x:c r="E30" s="2"/>
      <x:c r="F30" s="7"/>
      <x:c r="G30" s="7"/>
      <x:c r="H30" s="7"/>
    </x:row>
    <x:row r="31" ht="30" customHeight="1">
      <x:c r="A31" s="2" t="n">
        <x:v>1.5</x:v>
      </x:c>
      <x:c r="B31" s="12" t="n">
        <x:f>'Параметры'!B27</x:f>
        <x:v>6</x:v>
      </x:c>
      <x:c r="C31" s="12" t="n">
        <x:f>B31*TAN(A31*PI()/180)</x:f>
        <x:v>0.15711552941512158</x:v>
      </x:c>
      <x:c r="D31" s="12" t="n">
        <x:f>('Параметры'!B25-'Параметры'!B26)/2-C31</x:f>
        <x:v>0.3428844705848784</x:v>
      </x:c>
      <x:c r="E31" s="2"/>
      <x:c r="F31" s="7"/>
      <x:c r="G31" s="7"/>
      <x:c r="H31" s="7"/>
    </x:row>
    <x:row r="32" ht="30" customHeight="1">
      <x:c r="A32" s="2" t="n">
        <x:v>2</x:v>
      </x:c>
      <x:c r="B32" s="12" t="n">
        <x:f>'Параметры'!B27</x:f>
        <x:v>6</x:v>
      </x:c>
      <x:c r="C32" s="12" t="n">
        <x:f>B32*TAN(A32*PI()/180)</x:f>
        <x:v>0.20952461695048638</x:v>
      </x:c>
      <x:c r="D32" s="12" t="n">
        <x:f>('Параметры'!B25-'Параметры'!B26)/2-C32</x:f>
        <x:v>0.2904753830495136</x:v>
      </x:c>
      <x:c r="E32" s="2"/>
      <x:c r="F32" s="7"/>
      <x:c r="G32" s="7"/>
      <x:c r="H32" s="7"/>
    </x:row>
    <x:row r="33" ht="30" customHeight="1">
      <x:c r="A33" s="2"/>
      <x:c r="B33" s="2"/>
      <x:c r="C33" s="2"/>
      <x:c r="D33" s="2"/>
      <x:c r="E33" s="2"/>
      <x:c r="F33" s="2"/>
      <x:c r="G33" s="2"/>
      <x:c r="H33" s="2"/>
    </x:row>
    <x:row r="34" ht="30" customHeight="1">
      <x:c r="A34" s="2"/>
      <x:c r="B34" s="2"/>
      <x:c r="C34" s="2"/>
      <x:c r="D34" s="2"/>
      <x:c r="E34" s="2"/>
      <x:c r="F34" s="2"/>
      <x:c r="G34" s="2"/>
      <x:c r="H34" s="2"/>
    </x:row>
    <x:row r="35" ht="30" customHeight="1">
      <x:c r="A35" s="2"/>
      <x:c r="B35" s="2"/>
      <x:c r="C35" s="2"/>
      <x:c r="D35" s="2"/>
      <x:c r="E35" s="2"/>
      <x:c r="F35" s="2"/>
      <x:c r="G35" s="2"/>
      <x:c r="H35" s="2"/>
    </x:row>
  </x:sheetData>
  <x:mergeCells>
    <x:mergeCell ref="C4:H4"/>
    <x:mergeCell ref="A6:B6"/>
    <x:mergeCell ref="A7:B7"/>
    <x:mergeCell ref="A8:B8"/>
    <x:mergeCell ref="A9:B9"/>
    <x:mergeCell ref="A10:B10"/>
    <x:mergeCell ref="E6:H10"/>
    <x:mergeCell ref="A27:H27"/>
    <x:mergeCell ref="F29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14" hidden="0" customWidth="1"/>
    <x:col min="4" max="4" width="82" hidden="0" customWidth="1"/>
  </x:cols>
  <x:sheetData>
    <x:row r="1" ht="30" customHeight="1">
      <x:c r="A1" s="2"/>
      <x:c r="B1" s="2"/>
      <x:c r="C1" s="2"/>
      <x:c r="D1" s="2"/>
    </x:row>
    <x:row r="2" ht="30" customHeight="1">
      <x:c r="A2" s="3" t="str">
        <x:v>Параметры соединения R07</x:v>
      </x:c>
      <x:c r="B2" s="2"/>
      <x:c r="C2" s="2"/>
      <x:c r="D2" s="2"/>
    </x:row>
    <x:row r="3" ht="30" customHeight="1">
      <x:c r="A3" s="2"/>
      <x:c r="B3" s="2"/>
      <x:c r="C3" s="2"/>
      <x:c r="D3" s="2"/>
    </x:row>
    <x:row r="4" ht="30" customHeight="1">
      <x:c r="A4" s="2"/>
      <x:c r="B4" s="2"/>
      <x:c r="C4" s="2"/>
      <x:c r="D4" s="2"/>
    </x:row>
    <x:row r="5" ht="55" customHeight="1">
      <x:c r="A5" s="6" t="str">
        <x:v>Параметр</x:v>
      </x:c>
      <x:c r="B5" s="6" t="str">
        <x:v>Значение</x:v>
      </x:c>
      <x:c r="C5" s="6" t="str">
        <x:v>Единица</x:v>
      </x:c>
      <x:c r="D5" s="6" t="str">
        <x:v>Источник / смысл</x:v>
      </x:c>
    </x:row>
    <x:row r="6" ht="36" customHeight="1">
      <x:c r="A6" s="7" t="str">
        <x:v>E</x:v>
      </x:c>
      <x:c r="B6" s="8" t="n">
        <x:v>200000</x:v>
      </x:c>
      <x:c r="C6" s="7" t="str">
        <x:v>МПа</x:v>
      </x:c>
      <x:c r="D6" s="7" t="str">
        <x:v>Допущение упругой модели</x:v>
      </x:c>
    </x:row>
    <x:row r="7" ht="36" customHeight="1">
      <x:c r="A7" s="7" t="str">
        <x:v>Плотность</x:v>
      </x:c>
      <x:c r="B7" s="8" t="n">
        <x:v>7850</x:v>
      </x:c>
      <x:c r="C7" s="7" t="str">
        <x:v>кг/м³</x:v>
      </x:c>
      <x:c r="D7" s="7" t="str">
        <x:v>Масса геометрии</x:v>
      </x:c>
    </x:row>
    <x:row r="8" ht="36" customHeight="1">
      <x:c r="A8" s="7" t="str">
        <x:v>Действительная сила на соединение</x:v>
      </x:c>
      <x:c r="B8" s="8"/>
      <x:c r="C8" s="7" t="str">
        <x:v>Н</x:v>
      </x:c>
      <x:c r="D8" s="7" t="str">
        <x:v>От ленты/пуска/заклинивания; неизвестна. Жёлтые поля — ввод.</x:v>
      </x:c>
    </x:row>
    <x:row r="9" ht="36" customHeight="1">
      <x:c r="A9" s="7" t="str">
        <x:v>Сфера силы F</x:v>
      </x:c>
      <x:c r="B9" s="8" t="str">
        <x:v>одна поперечная связь</x:v>
      </x:c>
      <x:c r="C9" s="7" t="str">
        <x:v>—</x:v>
      </x:c>
      <x:c r="D9" s="7" t="str">
        <x:v>Не суммарная тяга всего транспортёра</x:v>
      </x:c>
    </x:row>
    <x:row r="10" ht="36" customHeight="1">
      <x:c r="A10" s="7" t="str">
        <x:v>Масса опоры с крепежом</x:v>
      </x:c>
      <x:c r="B10" s="9" t="n">
        <x:v>25.85112205349987</x:v>
      </x:c>
      <x:c r="C10" s="7" t="str">
        <x:v>кг</x:v>
      </x:c>
      <x:c r="D10" s="7" t="str">
        <x:v>JSON геометрии R07; фиксированная CAD, без швов</x:v>
      </x:c>
    </x:row>
    <x:row r="11" ht="36" customHeight="1">
      <x:c r="A11" s="7" t="str">
        <x:v>Условная P с новой массой</x:v>
      </x:c>
      <x:c r="B11" s="9" t="n">
        <x:v>1534.2917480947488</x:v>
      </x:c>
      <x:c r="C11" s="7" t="str">
        <x:v>Н</x:v>
      </x:c>
      <x:c r="D11" s="7" t="str">
        <x:v>R06 + прирост массы; не полный эксплуатационный случай</x:v>
      </x:c>
    </x:row>
    <x:row r="12" ht="36" customHeight="1">
      <x:c r="A12" s="7" t="str">
        <x:v>Угол для скатывания</x:v>
      </x:c>
      <x:c r="B12" s="8" t="n">
        <x:v>2</x:v>
      </x:c>
      <x:c r="C12" s="7" t="str">
        <x:v>град</x:v>
      </x:c>
      <x:c r="D12" s="7" t="str">
        <x:v>Верхняя граница предварительного диапазона</x:v>
      </x:c>
    </x:row>
    <x:row r="13" ht="36" customHeight="1">
      <x:c r="A13" s="7" t="str">
        <x:v>Пролёт для изгиба втулки/стержня</x:v>
      </x:c>
      <x:c r="B13" s="8" t="n">
        <x:v>90</x:v>
      </x:c>
      <x:c r="C13" s="7" t="str">
        <x:v>мм</x:v>
      </x:c>
      <x:c r="D13" s="7" t="str">
        <x:v>Между серединами двух направляющих; центральная сила</x:v>
      </x:c>
    </x:row>
    <x:row r="14" ht="36" customHeight="1">
      <x:c r="A14" s="7" t="str">
        <x:v>Модуль: диаметр болта</x:v>
      </x:c>
      <x:c r="B14" s="8" t="n">
        <x:v>10</x:v>
      </x:c>
      <x:c r="C14" s="7" t="str">
        <x:v>мм</x:v>
      </x:c>
      <x:c r="D14" s="7" t="str">
        <x:v>Предварительный M10, резьба в CAD не моделируется</x:v>
      </x:c>
    </x:row>
    <x:row r="15" ht="36" customHeight="1">
      <x:c r="A15" s="7" t="str">
        <x:v>Модуль: As резьбы</x:v>
      </x:c>
      <x:c r="B15" s="8" t="n">
        <x:v>58</x:v>
      </x:c>
      <x:c r="C15" s="7" t="str">
        <x:v>мм²</x:v>
      </x:c>
      <x:c r="D15" s="7" t="str">
        <x:v>Bossard, номинальная площадь M10 крупный шаг</x:v>
      </x:c>
    </x:row>
    <x:row r="16" ht="36" customHeight="1">
      <x:c r="A16" s="7" t="str">
        <x:v>Модуль: OD втулки</x:v>
      </x:c>
      <x:c r="B16" s="8" t="n">
        <x:v>20</x:v>
      </x:c>
      <x:c r="C16" s="7" t="str">
        <x:v>мм</x:v>
      </x:c>
      <x:c r="D16" s="7" t="str">
        <x:v>Расчётный кандидат</x:v>
      </x:c>
    </x:row>
    <x:row r="17" ht="36" customHeight="1">
      <x:c r="A17" s="7" t="str">
        <x:v>Модуль: ID втулки</x:v>
      </x:c>
      <x:c r="B17" s="8" t="n">
        <x:v>11</x:v>
      </x:c>
      <x:c r="C17" s="7" t="str">
        <x:v>мм</x:v>
      </x:c>
      <x:c r="D17" s="7" t="str">
        <x:v>Расчётный кандидат</x:v>
      </x:c>
    </x:row>
    <x:row r="18" ht="36" customHeight="1">
      <x:c r="A18" s="7" t="str">
        <x:v>Седло: диаметр болта</x:v>
      </x:c>
      <x:c r="B18" s="8" t="n">
        <x:v>6</x:v>
      </x:c>
      <x:c r="C18" s="7" t="str">
        <x:v>мм</x:v>
      </x:c>
      <x:c r="D18" s="7" t="str">
        <x:v>Предварительный M6</x:v>
      </x:c>
    </x:row>
    <x:row r="19" ht="36" customHeight="1">
      <x:c r="A19" s="7" t="str">
        <x:v>Седло: As резьбы</x:v>
      </x:c>
      <x:c r="B19" s="8" t="n">
        <x:v>20.1</x:v>
      </x:c>
      <x:c r="C19" s="7" t="str">
        <x:v>мм²</x:v>
      </x:c>
      <x:c r="D19" s="7" t="str">
        <x:v>Bossard, номинальная площадь M6 крупный шаг</x:v>
      </x:c>
    </x:row>
    <x:row r="20" ht="36" customHeight="1">
      <x:c r="A20" s="7" t="str">
        <x:v>Седло: OD втулки</x:v>
      </x:c>
      <x:c r="B20" s="8" t="n">
        <x:v>10</x:v>
      </x:c>
      <x:c r="C20" s="7" t="str">
        <x:v>мм</x:v>
      </x:c>
      <x:c r="D20" s="7" t="str">
        <x:v>Расчётный кандидат</x:v>
      </x:c>
    </x:row>
    <x:row r="21" ht="36" customHeight="1">
      <x:c r="A21" s="7" t="str">
        <x:v>Седло: ID втулки</x:v>
      </x:c>
      <x:c r="B21" s="8" t="n">
        <x:v>6.5</x:v>
      </x:c>
      <x:c r="C21" s="7" t="str">
        <x:v>мм</x:v>
      </x:c>
      <x:c r="D21" s="7" t="str">
        <x:v>Расчётный кандидат</x:v>
      </x:c>
    </x:row>
    <x:row r="22" ht="36" customHeight="1">
      <x:c r="A22" s="7" t="str">
        <x:v>Толщина направляющей</x:v>
      </x:c>
      <x:c r="B22" s="8" t="n">
        <x:v>6</x:v>
      </x:c>
      <x:c r="C22" s="7" t="str">
        <x:v>мм</x:v>
      </x:c>
      <x:c r="D22" s="7" t="str">
        <x:v>Две направляющие на рельс</x:v>
      </x:c>
    </x:row>
    <x:row r="23" ht="36" customHeight="1">
      <x:c r="A23" s="7" t="str">
        <x:v>Стенка рельса</x:v>
      </x:c>
      <x:c r="B23" s="8" t="n">
        <x:v>3</x:v>
      </x:c>
      <x:c r="C23" s="7" t="str">
        <x:v>мм</x:v>
      </x:c>
      <x:c r="D23" s="7" t="str">
        <x:v>Две стенки; отверстия Ø20,5 ослабляют сечение</x:v>
      </x:c>
    </x:row>
    <x:row r="24" ht="36" customHeight="1">
      <x:c r="A24" s="7" t="str">
        <x:v>Ширина седла</x:v>
      </x:c>
      <x:c r="B24" s="8" t="n">
        <x:v>80</x:v>
      </x:c>
      <x:c r="C24" s="7" t="str">
        <x:v>мм</x:v>
      </x:c>
      <x:c r="D24" s="7" t="str">
        <x:v>Отверстие проходит всю ширину</x:v>
      </x:c>
    </x:row>
    <x:row r="25" ht="36" customHeight="1">
      <x:c r="A25" s="7" t="str">
        <x:v>Диаметр отверстия направляющей</x:v>
      </x:c>
      <x:c r="B25" s="8" t="n">
        <x:v>21</x:v>
      </x:c>
      <x:c r="C25" s="7" t="str">
        <x:v>мм</x:v>
      </x:c>
      <x:c r="D25" s="7" t="str">
        <x:v>Для модульной втулки Ø20</x:v>
      </x:c>
    </x:row>
    <x:row r="26" ht="36" customHeight="1">
      <x:c r="A26" s="7" t="str">
        <x:v>Размер втулки для зазора</x:v>
      </x:c>
      <x:c r="B26" s="8" t="n">
        <x:f>B16</x:f>
        <x:v>20</x:v>
      </x:c>
      <x:c r="C26" s="7" t="str">
        <x:v>мм</x:v>
      </x:c>
      <x:c r="D26" s="7" t="str">
        <x:v>Связан с OD модульной втулки</x:v>
      </x:c>
    </x:row>
    <x:row r="27" ht="36" customHeight="1">
      <x:c r="A27" s="7" t="str">
        <x:v>Ход в одну сторону</x:v>
      </x:c>
      <x:c r="B27" s="8" t="n">
        <x:v>6</x:v>
      </x:c>
      <x:c r="C27" s="7" t="str">
        <x:v>мм</x:v>
      </x:c>
      <x:c r="D27" s="7" t="str">
        <x:v>Паз 33×21 мм; геометрический, температурный ход не рассчитан</x:v>
      </x:c>
    </x:row>
    <x:row r="28" ht="36" customHeight="1">
      <x:c r="A28" s="7" t="str">
        <x:v>Наружная ширина направляющих</x:v>
      </x:c>
      <x:c r="B28" s="8" t="n">
        <x:v>96</x:v>
      </x:c>
      <x:c r="C28" s="7" t="str">
        <x:v>мм</x:v>
      </x:c>
      <x:c r="D28" s="7" t="str">
        <x:v>Шесть миллиметров каждая, просвет 84 мм</x:v>
      </x:c>
    </x:row>
    <x:row r="29" ht="36" customHeight="1">
      <x:c r="A29" s="7" t="str">
        <x:v>Длина втулки</x:v>
      </x:c>
      <x:c r="B29" s="8" t="n">
        <x:v>97</x:v>
      </x:c>
      <x:c r="C29" s="7" t="str">
        <x:v>мм</x:v>
      </x:c>
      <x:c r="D29" s="7" t="str">
        <x:v>По 0,5 мм зазора до шайб с каждого края</x:v>
      </x:c>
    </x:row>
    <x:row r="30" ht="36" customHeight="1">
      <x:c r="A30" s="7" t="str">
        <x:v>Зазор торцов вдоль рельса</x:v>
      </x:c>
      <x:c r="B30" s="8" t="n">
        <x:v>12</x:v>
      </x:c>
      <x:c r="C30" s="7" t="str">
        <x:v>мм</x:v>
      </x:c>
      <x:c r="D30" s="7" t="str">
        <x:v>Предварительный монтажный вариант</x:v>
      </x:c>
    </x:row>
    <x:row r="31" ht="36" customHeight="1">
      <x:c r="A31" s="7" t="str">
        <x:v>Ориентир δ пластины</x:v>
      </x:c>
      <x:c r="B31" s="8" t="n">
        <x:v>0.05</x:v>
      </x:c>
      <x:c r="C31" s="7" t="str">
        <x:v>мм</x:v>
      </x:c>
      <x:c r="D31" s="7" t="str">
        <x:v>Предлагаемый частичный ориентир, не норматив</x:v>
      </x:c>
    </x:row>
    <x:row r="32" ht="36" customHeight="1">
      <x:c r="A32" s="7" t="str">
        <x:v>Полоса пластины</x:v>
      </x:c>
      <x:c r="B32" s="8" t="n">
        <x:v>38</x:v>
      </x:c>
      <x:c r="C32" s="7" t="str">
        <x:v>мм</x:v>
      </x:c>
      <x:c r="D32" s="7" t="str">
        <x:v>Плоская ширина продольной трубы</x:v>
      </x:c>
    </x:row>
    <x:row r="33" ht="36" customHeight="1">
      <x:c r="A33" s="7" t="str">
        <x:v>Толщина пластины</x:v>
      </x:c>
      <x:c r="B33" s="8" t="n">
        <x:v>12</x:v>
      </x:c>
      <x:c r="C33" s="7" t="str">
        <x:v>мм</x:v>
      </x:c>
      <x:c r="D33" s="7" t="str">
        <x:v>Обновлённый кандидат 160×120×12</x:v>
      </x:c>
    </x:row>
    <x:row r="34" ht="36" customHeight="1">
      <x:c r="A34" s="7" t="str">
        <x:v>Пролёт пластины</x:v>
      </x:c>
      <x:c r="B34" s="8" t="n">
        <x:v>112</x:v>
      </x:c>
      <x:c r="C34" s="7" t="str">
        <x:v>мм</x:v>
      </x:c>
      <x:c r="D34" s="7" t="str">
        <x:v>Геометрическая чувствительность R06</x:v>
      </x:c>
    </x:row>
    <x:row r="35" ht="36" customHeight="1">
      <x:c r="A35" s="7" t="str">
        <x:v>Документ на крепёж</x:v>
      </x:c>
      <x:c r="B35" s="8" t="str">
        <x:v>не подтверждён</x:v>
      </x:c>
      <x:c r="C35" s="7" t="str">
        <x:v>—</x:v>
      </x:c>
      <x:c r="D35" s="7" t="str">
        <x:v>Поставщик, исполнение, защита и класс ещё не утверждены</x:v>
      </x:c>
    </x:row>
    <x:row r="36" ht="36" customHeight="1">
      <x:c r="A36" s="7" t="str">
        <x:v>I втулки модульного болта</x:v>
      </x:c>
      <x:c r="B36" s="10" t="n">
        <x:f>PI()*(B16^4-B17^4)/64</x:f>
        <x:v>7135.293227080605</x:v>
      </x:c>
      <x:c r="C36" s="7" t="str">
        <x:v>мм⁴</x:v>
      </x:c>
      <x:c r="D36" s="7" t="str">
        <x:v>Расчёт ниже: π(OD⁴−ID⁴)/64</x:v>
      </x:c>
    </x:row>
    <x:row r="37" ht="36" customHeight="1">
      <x:c r="A37" s="7" t="str">
        <x:v>I втулки седла</x:v>
      </x:c>
      <x:c r="B37" s="10" t="n">
        <x:f>PI()*(B20^4-B21^4)/64</x:f>
        <x:v>403.24980155780156</x:v>
      </x:c>
      <x:c r="C37" s="7" t="str">
        <x:v>мм⁴</x:v>
      </x:c>
      <x:c r="D37" s="7" t="str">
        <x:v>Расчёт ниже: π(OD⁴−ID⁴)/64</x:v>
      </x:c>
    </x:row>
    <x:row r="38" ht="30" customHeight="1">
      <x:c r="A38" s="2"/>
      <x:c r="B38" s="2"/>
      <x:c r="C38" s="2"/>
      <x:c r="D38" s="2"/>
    </x:row>
    <x:row r="39" ht="48" customHeight="1">
      <x:c r="A39" s="2" t="str">
        <x:v>Источник As: Bossard F.046, M6/M10, крупный шаг</x:v>
      </x:c>
      <x:c r="B39" s="2"/>
      <x:c r="C39" s="2"/>
      <x:c r="D39" s="7" t="str">
        <x:v>https://media.bossard.com/de-de/-/media/bossard-group/website/documents/technical-resources/de/f-041-de.pdf</x:v>
      </x:c>
    </x:row>
    <x:row r="40" ht="30" customHeight="1">
      <x:c r="A40" s="2"/>
      <x:c r="B40" s="2"/>
      <x:c r="C40" s="2"/>
      <x:c r="D40" s="2"/>
    </x:row>
  </x:sheetData>
  <x:pageMargins left="0.7" right="0.7" top="0.75" bottom="0.75" header="0.3" footer="0.3"/>
</x:worksheet>
</file>