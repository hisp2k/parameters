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9ef5acc15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дла" sheetId="1" r:id="Rd9768af60a6f4fec"/>
    <x:sheet xmlns:r="http://schemas.openxmlformats.org/officeDocument/2006/relationships" name="Параметры" sheetId="2" r:id="Ra21d9a7fe20e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  <x:fill>
      <x:patternFill patternType="solid">
        <x:fgColor rgb="FFE9F2EE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3fc51b65a4f12" /><Relationship Type="http://schemas.openxmlformats.org/officeDocument/2006/relationships/theme" Target="/xl/theme/theme1.xml" Id="Rcaedf600206742d6" /><Relationship Type="http://schemas.openxmlformats.org/officeDocument/2006/relationships/sharedStrings" Target="/xl/sharedStrings.xml" Id="R08eec6c285ab401e" /><Relationship Type="http://schemas.openxmlformats.org/officeDocument/2006/relationships/worksheet" Target="/xl/worksheets/sheet1.xml" Id="Rd9768af60a6f4fec" /><Relationship Type="http://schemas.openxmlformats.org/officeDocument/2006/relationships/worksheet" Target="/xl/worksheets/sheet2.xml" Id="Ra21d9a7fe20e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25" hidden="0" customWidth="1"/>
    <x:col min="5" max="5" width="25" hidden="0" customWidth="1"/>
    <x:col min="6" max="6" width="23" hidden="0" customWidth="1"/>
    <x:col min="7" max="7" width="23" hidden="0" customWidth="1"/>
    <x:col min="8" max="8" width="28" hidden="0" customWidth="1"/>
  </x:cols>
  <x:sheetData>
    <x:row r="1" ht="35" customHeight="1">
      <x:c r="A1" s="2"/>
      <x:c r="B1" s="2"/>
      <x:c r="C1" s="2"/>
      <x:c r="D1" s="2"/>
      <x:c r="E1" s="2"/>
      <x:c r="F1" s="2"/>
      <x:c r="G1" s="2"/>
      <x:c r="H1" s="2"/>
    </x:row>
    <x:row r="2" ht="35" customHeight="1">
      <x:c r="A2" s="3" t="str">
        <x:v>Наклонные седла и местная жёсткость R05</x:v>
      </x:c>
      <x:c r="B2" s="2"/>
      <x:c r="C2" s="2"/>
      <x:c r="D2" s="2"/>
      <x:c r="E2" s="2"/>
      <x:c r="F2" s="2"/>
      <x:c r="G2" s="2"/>
      <x:c r="H2" s="2"/>
    </x:row>
    <x:row r="3" ht="58" customHeight="1">
      <x:c r="A3" s="7" t="str">
        <x:v>Не для изготовления. Все усилия — частичные условные огибающие. Допускаемые напряжения не назначены, реальный контакт и швы не решены. Массы труб сохранены из R04; CAD фиксирован и не связан с Excel.</x:v>
      </x:c>
      <x:c r="B3" s="7"/>
      <x:c r="C3" s="7"/>
      <x:c r="D3" s="7"/>
      <x:c r="E3" s="7"/>
      <x:c r="F3" s="7"/>
      <x:c r="G3" s="7"/>
      <x:c r="H3" s="7"/>
    </x:row>
    <x:row r="4" ht="35" customHeight="1">
      <x:c r="A4" s="2"/>
      <x:c r="B4" s="2"/>
      <x:c r="C4" s="2"/>
      <x:c r="D4" s="2"/>
      <x:c r="E4" s="2"/>
      <x:c r="F4" s="2"/>
      <x:c r="G4" s="2"/>
      <x:c r="H4" s="2"/>
    </x:row>
    <x:row r="5" ht="48" customHeight="1">
      <x:c r="A5" s="6" t="str">
        <x:v>t min, мм</x:v>
      </x:c>
      <x:c r="B5" s="6" t="str">
        <x:v>t центр, мм</x:v>
      </x:c>
      <x:c r="C5" s="6" t="str">
        <x:v>t max, мм</x:v>
      </x:c>
      <x:c r="D5" s="6" t="str">
        <x:v>Масса одного, кг</x:v>
      </x:c>
      <x:c r="E5" s="6" t="str">
        <x:v>P на одно, Н</x:v>
      </x:c>
      <x:c r="F5" s="6" t="str">
        <x:v>σ полосы, МПа</x:v>
      </x:c>
      <x:c r="G5" s="6" t="str">
        <x:v>δ полосы, мм</x:v>
      </x:c>
      <x:c r="H5" s="6" t="str">
        <x:v>δ ≤ ориентир</x:v>
      </x:c>
    </x:row>
    <x:row r="6" ht="35" customHeight="1">
      <x:c r="A6" s="11" t="n">
        <x:v>6</x:v>
      </x:c>
      <x:c r="B6" s="10" t="n">
        <x:f>A6+'Параметры'!B13/2*TAN('Параметры'!B10*PI()/180)</x:f>
        <x:v>7.309296078459346</x:v>
      </x:c>
      <x:c r="C6" s="10" t="n">
        <x:f>A6+'Параметры'!B13*TAN('Параметры'!B10*PI()/180)</x:f>
        <x:v>8.618592156918693</x:v>
      </x:c>
      <x:c r="D6" s="10" t="n">
        <x:f>'Параметры'!B13*'Параметры'!B14*B6*10^-9*'Параметры'!B7</x:f>
        <x:v>0.34426784529543525</x:v>
      </x:c>
      <x:c r="E6" s="10" t="n">
        <x:f>'Параметры'!B9+2*D6*'Параметры'!B8</x:f>
        <x:v>1424.820918006781</x:v>
      </x:c>
      <x:c r="F6" s="10" t="n">
        <x:f>6*(E6*('Параметры'!B17-2*'Параметры'!B18)/4)/(('Параметры'!B15-2*'Параметры'!B16)*A6^2)</x:f>
        <x:v>131.23350560588773</x:v>
      </x:c>
      <x:c r="G6" s="10" t="n">
        <x:f>IF(OR(ISBLANK('Параметры'!B6),'Параметры'!B6&lt;=0),"нет E",E6*('Параметры'!B17-2*'Параметры'!B18)^3/(48*'Параметры'!B6*(('Параметры'!B15-2*'Параметры'!B16)*A6^3/12)))</x:f>
        <x:v>0.12860883549376997</x:v>
      </x:c>
      <x:c r="H6" s="2" t="b">
        <x:f>IF(ISNUMBER(G6),G6&lt;='Параметры'!B20,"не задано")</x:f>
        <x:v>0</x:v>
      </x:c>
    </x:row>
    <x:row r="7" ht="35" customHeight="1">
      <x:c r="A7" s="11" t="n">
        <x:v>8</x:v>
      </x:c>
      <x:c r="B7" s="10" t="n">
        <x:f>A7+'Параметры'!B13/2*TAN('Параметры'!B10*PI()/180)</x:f>
        <x:v>9.309296078459347</x:v>
      </x:c>
      <x:c r="C7" s="10" t="n">
        <x:f>A7+'Параметры'!B13*TAN('Параметры'!B10*PI()/180)</x:f>
        <x:v>10.618592156918693</x:v>
      </x:c>
      <x:c r="D7" s="10" t="n">
        <x:f>'Параметры'!B13*'Параметры'!B14*B7*10^-9*'Параметры'!B7</x:f>
        <x:v>0.43846784529543525</x:v>
      </x:c>
      <x:c r="E7" s="10" t="n">
        <x:f>'Параметры'!B9+2*D7*'Параметры'!B8</x:f>
        <x:v>1426.6684908667812</x:v>
      </x:c>
      <x:c r="F7" s="10" t="n">
        <x:f>6*(E7*('Параметры'!B17-2*'Параметры'!B18)/4)/(('Параметры'!B15-2*'Параметры'!B16)*A7^2)</x:f>
        <x:v>73.91456819457831</x:v>
      </x:c>
      <x:c r="G7" s="10" t="n">
        <x:f>IF(OR(ISBLANK('Параметры'!B6),'Параметры'!B6&lt;=0),"нет E",E7*('Параметры'!B17-2*'Параметры'!B18)^3/(48*'Параметры'!B6*(('Параметры'!B15-2*'Параметры'!B16)*A7^3/12)))</x:f>
        <x:v>0.05432720762301505</x:v>
      </x:c>
      <x:c r="H7" s="2" t="b">
        <x:f>IF(ISNUMBER(G7),G7&lt;='Параметры'!B20,"не задано")</x:f>
        <x:v>0</x:v>
      </x:c>
    </x:row>
    <x:row r="8" ht="35" customHeight="1">
      <x:c r="A8" s="11" t="n">
        <x:v>10</x:v>
      </x:c>
      <x:c r="B8" s="10" t="n">
        <x:f>A8+'Параметры'!B13/2*TAN('Параметры'!B10*PI()/180)</x:f>
        <x:v>11.309296078459347</x:v>
      </x:c>
      <x:c r="C8" s="10" t="n">
        <x:f>A8+'Параметры'!B13*TAN('Параметры'!B10*PI()/180)</x:f>
        <x:v>12.618592156918693</x:v>
      </x:c>
      <x:c r="D8" s="10" t="n">
        <x:f>'Параметры'!B13*'Параметры'!B14*B8*10^-9*'Параметры'!B7</x:f>
        <x:v>0.5326678452954353</x:v>
      </x:c>
      <x:c r="E8" s="10" t="n">
        <x:f>'Параметры'!B9+2*D8*'Параметры'!B8</x:f>
        <x:v>1428.516063726781</x:v>
      </x:c>
      <x:c r="F8" s="10" t="n">
        <x:f>6*(E8*('Параметры'!B17-2*'Параметры'!B18)/4)/(('Параметры'!B15-2*'Параметры'!B16)*A8^2)</x:f>
        <x:v>47.36658527094063</x:v>
      </x:c>
      <x:c r="G8" s="10" t="n">
        <x:f>IF(OR(ISBLANK('Параметры'!B6),'Параметры'!B6&lt;=0),"нет E",E8*('Параметры'!B17-2*'Параметры'!B18)^3/(48*'Параметры'!B6*(('Параметры'!B15-2*'Параметры'!B16)*A8^3/12)))</x:f>
        <x:v>0.027851552139313094</x:v>
      </x:c>
      <x:c r="H8" s="2" t="b">
        <x:f>IF(ISNUMBER(G8),G8&lt;='Параметры'!B20,"не задано")</x:f>
        <x:v>1</x:v>
      </x:c>
    </x:row>
    <x:row r="9" ht="35" customHeight="1">
      <x:c r="A9" s="2"/>
      <x:c r="B9" s="2"/>
      <x:c r="C9" s="2"/>
      <x:c r="D9" s="2"/>
      <x:c r="E9" s="2"/>
      <x:c r="F9" s="2"/>
      <x:c r="G9" s="2"/>
      <x:c r="H9" s="2"/>
    </x:row>
    <x:row r="10" ht="35" customHeight="1">
      <x:c r="A10" s="2"/>
      <x:c r="B10" s="2"/>
      <x:c r="C10" s="2"/>
      <x:c r="D10" s="2"/>
      <x:c r="E10" s="2"/>
      <x:c r="F10" s="2"/>
      <x:c r="G10" s="2"/>
      <x:c r="H10" s="2"/>
    </x:row>
    <x:row r="11" ht="35" customHeight="1">
      <x:c r="A11" s="2"/>
      <x:c r="B11" s="2"/>
      <x:c r="C11" s="2"/>
      <x:c r="D11" s="2"/>
      <x:c r="E11" s="2"/>
      <x:c r="F11" s="2"/>
      <x:c r="G11" s="2"/>
      <x:c r="H11" s="2"/>
    </x:row>
    <x:row r="12" ht="42" customHeight="1">
      <x:c r="A12" s="7" t="str">
        <x:v>t центра выбранного седла</x:v>
      </x:c>
      <x:c r="B12" s="7"/>
      <x:c r="C12" s="7"/>
      <x:c r="D12" s="13" t="n">
        <x:f>'Параметры'!B12+'Параметры'!B13/2*TAN('Параметры'!B10*PI()/180)</x:f>
        <x:v>11.309296078459347</x:v>
      </x:c>
      <x:c r="E12" s="7" t="str">
        <x:v>мм</x:v>
      </x:c>
      <x:c r="F12" s="7" t="str">
        <x:v>Плоскость опирания рельса сохраняется</x:v>
      </x:c>
      <x:c r="G12" s="7"/>
      <x:c r="H12" s="7"/>
    </x:row>
    <x:row r="13" ht="42" customHeight="1">
      <x:c r="A13" s="7" t="str">
        <x:v>P выбранного седла</x:v>
      </x:c>
      <x:c r="B13" s="7"/>
      <x:c r="C13" s="7"/>
      <x:c r="D13" s="13" t="n">
        <x:f>'Параметры'!B9+2*'Параметры'!B13*'Параметры'!B14*D12*10^-9*'Параметры'!B7*'Параметры'!B8</x:f>
        <x:v>1428.516063726781</x:v>
      </x:c>
      <x:c r="E13" s="7" t="str">
        <x:v>Н</x:v>
      </x:c>
      <x:c r="F13" s="7" t="str">
        <x:v>Вся огибающая плюс вес двух седел на одно</x:v>
      </x:c>
      <x:c r="G13" s="7"/>
      <x:c r="H13" s="7"/>
    </x:row>
    <x:row r="14" ht="42" customHeight="1">
      <x:c r="A14" s="7" t="str">
        <x:v>Плоская ширина рельса</x:v>
      </x:c>
      <x:c r="B14" s="7"/>
      <x:c r="C14" s="7"/>
      <x:c r="D14" s="13" t="n">
        <x:f>'Параметры'!B15-2*'Параметры'!B16</x:f>
        <x:v>38</x:v>
      </x:c>
      <x:c r="E14" s="7" t="str">
        <x:v>мм</x:v>
      </x:c>
      <x:c r="F14" s="7" t="str">
        <x:v>Наружная ширина минус два радиуса</x:v>
      </x:c>
      <x:c r="G14" s="7"/>
      <x:c r="H14" s="7"/>
    </x:row>
    <x:row r="15" ht="42" customHeight="1">
      <x:c r="A15" s="7" t="str">
        <x:v>Плоская ширина верха трубы</x:v>
      </x:c>
      <x:c r="B15" s="7"/>
      <x:c r="C15" s="7"/>
      <x:c r="D15" s="13" t="n">
        <x:f>'Параметры'!B17-2*'Параметры'!B18</x:f>
        <x:v>84</x:v>
      </x:c>
      <x:c r="E15" s="7" t="str">
        <x:v>мм</x:v>
      </x:c>
      <x:c r="F15" s="7" t="str">
        <x:v>Опорная поверхность уже наружных 100 мм</x:v>
      </x:c>
      <x:c r="G15" s="7"/>
      <x:c r="H15" s="7"/>
    </x:row>
    <x:row r="16" ht="42" customHeight="1">
      <x:c r="A16" s="7" t="str">
        <x:v>Площадь контакта половины седла</x:v>
      </x:c>
      <x:c r="B16" s="7"/>
      <x:c r="C16" s="7"/>
      <x:c r="D16" s="13" t="n">
        <x:f>'Параметры'!B13/2*D14/COS('Параметры'!B10*PI()/180)</x:f>
        <x:v>1900.651305732649</x:v>
      </x:c>
      <x:c r="E16" s="7" t="str">
        <x:v>мм²</x:v>
      </x:c>
      <x:c r="F16" s="7" t="str">
        <x:v>Номинальная плоскость, не реальное распределение</x:v>
      </x:c>
      <x:c r="G16" s="7"/>
      <x:c r="H16" s="7"/>
    </x:row>
    <x:row r="17" ht="42" customHeight="1">
      <x:c r="A17" s="7" t="str">
        <x:v>σ верхней стенки — ориентир</x:v>
      </x:c>
      <x:c r="B17" s="7"/>
      <x:c r="C17" s="7"/>
      <x:c r="D17" s="13" t="n">
        <x:f>6*(D13/'Параметры'!B14*(2*'Параметры'!B33-D15)/8)/'Параметры'!B19^2</x:f>
        <x:v>111.60281747865479</x:v>
      </x:c>
      <x:c r="E17" s="7" t="str">
        <x:v>МПа</x:v>
      </x:c>
      <x:c r="F17" s="7" t="str">
        <x:v>Полоса с опиранием по краям и центральной площадкой</x:v>
      </x:c>
      <x:c r="G17" s="7"/>
      <x:c r="H17" s="7"/>
    </x:row>
    <x:row r="18" ht="42" customHeight="1">
      <x:c r="A18" s="7" t="str">
        <x:v>δ верхней стенки — ориентир</x:v>
      </x:c>
      <x:c r="B18" s="7"/>
      <x:c r="C18" s="7"/>
      <x:c r="D18" s="13" t="n">
        <x:f>IF(OR(ISBLANK('Параметры'!B6),'Параметры'!B6&lt;=0),"нет E",D13/'Параметры'!B14*(8*'Параметры'!B33^3-4*'Параметры'!B33*D15^2+D15^3)/(384*'Параметры'!B6*('Параметры'!B19^3/12)))</x:f>
        <x:v>0.2456192008009394</x:v>
      </x:c>
      <x:c r="E18" s="7" t="str">
        <x:v>мм</x:v>
      </x:c>
      <x:c r="F18" s="7" t="str">
        <x:v>Не расчёт контакта в Simulation</x:v>
      </x:c>
      <x:c r="G18" s="7"/>
      <x:c r="H18" s="7"/>
    </x:row>
    <x:row r="19" ht="42" customHeight="1">
      <x:c r="A19" s="7" t="str">
        <x:v>Скатывающая составляющая</x:v>
      </x:c>
      <x:c r="B19" s="7"/>
      <x:c r="C19" s="7"/>
      <x:c r="D19" s="13" t="n">
        <x:f>D13*SIN('Параметры'!B11*PI()/180)</x:f>
        <x:v>49.854491655502464</x:v>
      </x:c>
      <x:c r="E19" s="7" t="str">
        <x:v>Н</x:v>
      </x:c>
      <x:c r="F19" s="7" t="str">
        <x:v>Без усилий натяжения ленты; нужна фиксация</x:v>
      </x:c>
      <x:c r="G19" s="7"/>
      <x:c r="H19" s="7"/>
    </x:row>
    <x:row r="20" ht="42" customHeight="1">
      <x:c r="A20" s="7" t="str">
        <x:v>Длина средней стойки</x:v>
      </x:c>
      <x:c r="B20" s="7"/>
      <x:c r="C20" s="7"/>
      <x:c r="D20" s="13" t="n">
        <x:f>'Параметры'!B23-D12</x:f>
        <x:v>530.6907039215406</x:v>
      </x:c>
      <x:c r="E20" s="7" t="str">
        <x:v>мм</x:v>
      </x:c>
      <x:c r="F20" s="7" t="str">
        <x:v>R04 длина минус толщина седла по центру</x:v>
      </x:c>
      <x:c r="G20" s="7"/>
      <x:c r="H20" s="7"/>
    </x:row>
    <x:row r="21" ht="42" customHeight="1">
      <x:c r="A21" s="7" t="str">
        <x:v>Объём опоры без рельсов</x:v>
      </x:c>
      <x:c r="B21" s="7"/>
      <x:c r="C21" s="7"/>
      <x:c r="D21" s="14" t="n">
        <x:f>('Параметры'!B27*'Параметры'!B32+2*'Параметры'!B26*D20+2*'Параметры'!B29*'Параметры'!B30*'Параметры'!B25+2*'Параметры'!B13*'Параметры'!B14*D12)*10^-9</x:f>
        <x:v>0.001932088544984063</x:v>
      </x:c>
      <x:c r="E21" s="7" t="str">
        <x:v>м³</x:v>
      </x:c>
      <x:c r="F21" s="7" t="str">
        <x:v>Семь тел опоры</x:v>
      </x:c>
      <x:c r="G21" s="7"/>
      <x:c r="H21" s="7"/>
    </x:row>
    <x:row r="22" ht="42" customHeight="1">
      <x:c r="A22" s="7" t="str">
        <x:v>Масса опоры без рельсов</x:v>
      </x:c>
      <x:c r="B22" s="7"/>
      <x:c r="C22" s="7"/>
      <x:c r="D22" s="13" t="n">
        <x:f>D21*'Параметры'!B7</x:f>
        <x:v>15.166895078124895</x:v>
      </x:c>
      <x:c r="E22" s="7" t="str">
        <x:v>кг</x:v>
      </x:c>
      <x:c r="F22" s="7" t="str">
        <x:v>Плотность задана явно</x:v>
      </x:c>
      <x:c r="G22" s="7"/>
      <x:c r="H22" s="7"/>
    </x:row>
    <x:row r="23" ht="42" customHeight="1">
      <x:c r="A23" s="7" t="str">
        <x:v>Объём 4 справочных рельсов</x:v>
      </x:c>
      <x:c r="B23" s="7"/>
      <x:c r="C23" s="7"/>
      <x:c r="D23" s="14" t="n">
        <x:f>4*'Параметры'!B28*'Параметры'!B31*10^-9</x:f>
        <x:v>0.0010089876019763091</x:v>
      </x:c>
      <x:c r="E23" s="7" t="str">
        <x:v>м³</x:v>
      </x:c>
      <x:c r="F23" s="7" t="str">
        <x:v>Четыре коротких отрезка</x:v>
      </x:c>
      <x:c r="G23" s="7"/>
      <x:c r="H23" s="7"/>
    </x:row>
    <x:row r="24" ht="42" customHeight="1">
      <x:c r="A24" s="7" t="str">
        <x:v>Масса узла с отрезками</x:v>
      </x:c>
      <x:c r="B24" s="7"/>
      <x:c r="C24" s="7"/>
      <x:c r="D24" s="13" t="n">
        <x:f>(D21+D23)*'Параметры'!B7</x:f>
        <x:v>23.087447753638923</x:v>
      </x:c>
      <x:c r="E24" s="7" t="str">
        <x:v>кг</x:v>
      </x:c>
      <x:c r="F24" s="7" t="str">
        <x:v>Не масса транспортёра</x:v>
      </x:c>
      <x:c r="G24" s="7"/>
      <x:c r="H24" s="7"/>
    </x:row>
    <x:row r="25" ht="35" customHeight="1">
      <x:c r="A25" s="2"/>
      <x:c r="B25" s="2"/>
      <x:c r="C25" s="2"/>
      <x:c r="D25" s="2"/>
      <x:c r="E25" s="2"/>
      <x:c r="F25" s="2"/>
      <x:c r="G25" s="2"/>
      <x:c r="H25" s="2"/>
    </x:row>
    <x:row r="26" ht="58" customHeight="1">
      <x:c r="A26" s="7" t="str">
        <x:v>Верхняя стенка трубы даёт большую местную деформацию, чем седло. Одномерные модели служат ориентиром; они не доказывают местную прочность трубы. Скругления, распределение контакта и крепления требуют следующей проверки.</x:v>
      </x:c>
      <x:c r="B26" s="7"/>
      <x:c r="C26" s="7"/>
      <x:c r="D26" s="7"/>
      <x:c r="E26" s="7"/>
      <x:c r="F26" s="7"/>
      <x:c r="G26" s="7"/>
      <x:c r="H26" s="7"/>
    </x:row>
    <x:row r="27" ht="35" customHeight="1">
      <x:c r="A27" s="2"/>
      <x:c r="B27" s="2"/>
      <x:c r="C27" s="2"/>
      <x:c r="D27" s="2"/>
      <x:c r="E27" s="2"/>
      <x:c r="F27" s="2"/>
      <x:c r="G27" s="2"/>
      <x:c r="H27" s="2"/>
    </x:row>
    <x:row r="28" ht="35" customHeight="1">
      <x:c r="A28" s="2"/>
      <x:c r="B28" s="2"/>
      <x:c r="C28" s="2"/>
      <x:c r="D28" s="2"/>
      <x:c r="E28" s="2"/>
      <x:c r="F28" s="2"/>
      <x:c r="G28" s="2"/>
      <x:c r="H28" s="2"/>
    </x:row>
    <x:row r="29" ht="48" customHeight="1">
      <x:c r="A29" s="6" t="str">
        <x:v>Ось, мм</x:v>
      </x:c>
      <x:c r="B29" s="6" t="str">
        <x:v>Лента, мм</x:v>
      </x:c>
      <x:c r="C29" s="6" t="str">
        <x:v>Опирание рельса, мм</x:v>
      </x:c>
      <x:c r="D29" s="6" t="str">
        <x:v>Верх трубы, мм</x:v>
      </x:c>
      <x:c r="E29" s="6" t="str">
        <x:v>Стойка, мм</x:v>
      </x:c>
      <x:c r="F29" s="2"/>
      <x:c r="G29" s="2"/>
      <x:c r="H29" s="2"/>
    </x:row>
    <x:row r="30" ht="35" customHeight="1">
      <x:c r="A30" s="10" t="n">
        <x:v>200</x:v>
      </x:c>
      <x:c r="B30" s="10" t="n">
        <x:f>'Параметры'!B21+(5000-A30)*TAN('Параметры'!B10*PI()/180)</x:f>
        <x:v>925.6924235320972</x:v>
      </x:c>
      <x:c r="C30" s="10" t="n">
        <x:f>B30-'Параметры'!B22</x:f>
        <x:v>755.6924235320972</x:v>
      </x:c>
      <x:c r="D30" s="10" t="n">
        <x:f>C30-$D$12</x:f>
        <x:v>744.3831274536378</x:v>
      </x:c>
      <x:c r="E30" s="10" t="n">
        <x:f>D30-'Параметры'!B24-'Параметры'!B25</x:f>
        <x:v>656.3831274536378</x:v>
      </x:c>
      <x:c r="F30" s="2"/>
      <x:c r="G30" s="2"/>
      <x:c r="H30" s="2"/>
    </x:row>
    <x:row r="31" ht="35" customHeight="1">
      <x:c r="A31" s="10" t="n">
        <x:v>2600</x:v>
      </x:c>
      <x:c r="B31" s="10" t="n">
        <x:f>'Параметры'!B21+(5000-A31)*TAN('Параметры'!B10*PI()/180)</x:f>
        <x:v>862.8462117660487</x:v>
      </x:c>
      <x:c r="C31" s="10" t="n">
        <x:f>B31-'Параметры'!B22</x:f>
        <x:v>692.8462117660487</x:v>
      </x:c>
      <x:c r="D31" s="10" t="n">
        <x:f>C31-$D$12</x:f>
        <x:v>681.5369156875893</x:v>
      </x:c>
      <x:c r="E31" s="10" t="n">
        <x:f>D31-'Параметры'!B24-'Параметры'!B25</x:f>
        <x:v>593.5369156875893</x:v>
      </x:c>
      <x:c r="F31" s="2"/>
      <x:c r="G31" s="2"/>
      <x:c r="H31" s="2"/>
    </x:row>
    <x:row r="32" ht="35" customHeight="1">
      <x:c r="A32" s="10" t="n">
        <x:v>5000</x:v>
      </x:c>
      <x:c r="B32" s="10" t="n">
        <x:f>'Параметры'!B21+(5000-A32)*TAN('Параметры'!B10*PI()/180)</x:f>
        <x:v>800</x:v>
      </x:c>
      <x:c r="C32" s="10" t="n">
        <x:f>B32-'Параметры'!B22</x:f>
        <x:v>630</x:v>
      </x:c>
      <x:c r="D32" s="10" t="n">
        <x:f>C32-$D$12</x:f>
        <x:v>618.6907039215406</x:v>
      </x:c>
      <x:c r="E32" s="10" t="n">
        <x:f>D32-'Параметры'!B24-'Параметры'!B25</x:f>
        <x:v>530.6907039215406</x:v>
      </x:c>
      <x:c r="F32" s="2"/>
      <x:c r="G32" s="2"/>
      <x:c r="H32" s="2"/>
    </x:row>
    <x:row r="33" ht="35" customHeight="1">
      <x:c r="A33" s="10" t="n">
        <x:v>7400</x:v>
      </x:c>
      <x:c r="B33" s="10" t="n">
        <x:f>'Параметры'!B21+(5000-A33)*TAN('Параметры'!B10*PI()/180)</x:f>
        <x:v>737.1537882339513</x:v>
      </x:c>
      <x:c r="C33" s="10" t="n">
        <x:f>B33-'Параметры'!B22</x:f>
        <x:v>567.1537882339513</x:v>
      </x:c>
      <x:c r="D33" s="10" t="n">
        <x:f>C33-$D$12</x:f>
        <x:v>555.8444921554919</x:v>
      </x:c>
      <x:c r="E33" s="10" t="n">
        <x:f>D33-'Параметры'!B24-'Параметры'!B25</x:f>
        <x:v>467.84449215549193</x:v>
      </x:c>
      <x:c r="F33" s="2"/>
      <x:c r="G33" s="2"/>
      <x:c r="H33" s="2"/>
    </x:row>
    <x:row r="34" ht="35" customHeight="1">
      <x:c r="A34" s="10" t="n">
        <x:v>9800</x:v>
      </x:c>
      <x:c r="B34" s="10" t="n">
        <x:f>'Параметры'!B21+(5000-A34)*TAN('Параметры'!B10*PI()/180)</x:f>
        <x:v>674.3075764679028</x:v>
      </x:c>
      <x:c r="C34" s="10" t="n">
        <x:f>B34-'Параметры'!B22</x:f>
        <x:v>504.3075764679028</x:v>
      </x:c>
      <x:c r="D34" s="10" t="n">
        <x:f>C34-$D$12</x:f>
        <x:v>492.99828038944344</x:v>
      </x:c>
      <x:c r="E34" s="10" t="n">
        <x:f>D34-'Параметры'!B24-'Параметры'!B25</x:f>
        <x:v>404.99828038944344</x:v>
      </x:c>
      <x:c r="F34" s="2"/>
      <x:c r="G34" s="2"/>
      <x:c r="H34" s="2"/>
    </x:row>
    <x:row r="35" ht="35" customHeight="1">
      <x:c r="A35" s="2"/>
      <x:c r="B35" s="2"/>
      <x:c r="C35" s="2"/>
      <x:c r="D35" s="2"/>
      <x:c r="E35" s="2"/>
      <x:c r="F35" s="2"/>
      <x:c r="G35" s="2"/>
      <x:c r="H35" s="2"/>
    </x:row>
    <x:row r="36" ht="58" customHeight="1">
      <x:c r="A36" s="7" t="str">
        <x:v>Геометрический контакт при уклоне решается седлом. В CAD нет фиксаторов седел, швов и зазора стыка. Высоты условны до выбора роликов; окончательные детали, DXF и УП не выпущены.</x:v>
      </x:c>
      <x:c r="B36" s="7"/>
      <x:c r="C36" s="7"/>
      <x:c r="D36" s="7"/>
      <x:c r="E36" s="7"/>
      <x:c r="F36" s="7"/>
      <x:c r="G36" s="7"/>
      <x:c r="H36" s="7"/>
    </x:row>
    <x:row r="37" ht="35" customHeight="1">
      <x:c r="A37" s="2"/>
      <x:c r="B37" s="2"/>
      <x:c r="C37" s="2"/>
      <x:c r="D37" s="2"/>
      <x:c r="E37" s="2"/>
      <x:c r="F37" s="2"/>
      <x:c r="G37" s="2"/>
      <x:c r="H37" s="2"/>
    </x:row>
    <x:row r="38" ht="35" customHeight="1">
      <x:c r="A38" s="2"/>
      <x:c r="B38" s="2"/>
      <x:c r="C38" s="2"/>
      <x:c r="D38" s="2"/>
      <x:c r="E38" s="2"/>
      <x:c r="F38" s="2"/>
      <x:c r="G38" s="2"/>
      <x:c r="H38" s="2"/>
    </x:row>
    <x:row r="39" ht="35" customHeight="1">
      <x:c r="A39" s="2"/>
      <x:c r="B39" s="2"/>
      <x:c r="C39" s="2"/>
      <x:c r="D39" s="2"/>
      <x:c r="E39" s="2"/>
      <x:c r="F39" s="2"/>
      <x:c r="G39" s="2"/>
      <x:c r="H39" s="2"/>
    </x:row>
    <x:row r="40" ht="35" customHeight="1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A2:H2"/>
    <x:mergeCell ref="A3:H3"/>
    <x:mergeCell ref="A12:C12"/>
    <x:mergeCell ref="F12:H12"/>
    <x:mergeCell ref="A13:C13"/>
    <x:mergeCell ref="F13:H13"/>
    <x:mergeCell ref="A14:C14"/>
    <x:mergeCell ref="F14:H14"/>
    <x:mergeCell ref="A15:C15"/>
    <x:mergeCell ref="F15:H15"/>
    <x:mergeCell ref="A16:C16"/>
    <x:mergeCell ref="F16:H16"/>
    <x:mergeCell ref="A17:C17"/>
    <x:mergeCell ref="F17:H17"/>
    <x:mergeCell ref="A18:C18"/>
    <x:mergeCell ref="F18:H18"/>
    <x:mergeCell ref="A19:C19"/>
    <x:mergeCell ref="F19:H19"/>
    <x:mergeCell ref="A20:C20"/>
    <x:mergeCell ref="F20:H20"/>
    <x:mergeCell ref="A21:C21"/>
    <x:mergeCell ref="F21:H21"/>
    <x:mergeCell ref="A22:C22"/>
    <x:mergeCell ref="F22:H22"/>
    <x:mergeCell ref="A23:C23"/>
    <x:mergeCell ref="F23:H23"/>
    <x:mergeCell ref="A24:C24"/>
    <x:mergeCell ref="F24:H24"/>
    <x:mergeCell ref="A26:H26"/>
    <x:mergeCell ref="A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3" hidden="0" customWidth="1"/>
    <x:col min="3" max="3" width="15" hidden="0" customWidth="1"/>
    <x:col min="4" max="4" width="92" hidden="0" customWidth="1"/>
  </x:cols>
  <x:sheetData>
    <x:row r="1" ht="35" customHeight="1">
      <x:c r="A1" s="2"/>
      <x:c r="B1" s="2"/>
      <x:c r="C1" s="2"/>
      <x:c r="D1" s="2"/>
    </x:row>
    <x:row r="2" ht="35" customHeight="1">
      <x:c r="A2" s="3" t="str">
        <x:v>Параметры наклонного опирания R05</x:v>
      </x:c>
      <x:c r="B2" s="2"/>
      <x:c r="C2" s="2"/>
      <x:c r="D2" s="2"/>
    </x:row>
    <x:row r="3" ht="35" customHeight="1">
      <x:c r="A3" s="2"/>
      <x:c r="B3" s="2"/>
      <x:c r="C3" s="2"/>
      <x:c r="D3" s="2"/>
    </x:row>
    <x:row r="4" ht="35" customHeight="1">
      <x:c r="A4" s="2"/>
      <x:c r="B4" s="2"/>
      <x:c r="C4" s="2"/>
      <x:c r="D4" s="2"/>
    </x:row>
    <x:row r="5" ht="48" customHeight="1">
      <x:c r="A5" s="6" t="str">
        <x:v>Параметр</x:v>
      </x:c>
      <x:c r="B5" s="6" t="str">
        <x:v>Значение</x:v>
      </x:c>
      <x:c r="C5" s="6" t="str">
        <x:v>Единица</x:v>
      </x:c>
      <x:c r="D5" s="6" t="str">
        <x:v>Основание / статус</x:v>
      </x:c>
    </x:row>
    <x:row r="6" ht="44" customHeight="1">
      <x:c r="A6" s="7" t="str">
        <x:v>E</x:v>
      </x:c>
      <x:c r="B6" s="8" t="n">
        <x:v>200000</x:v>
      </x:c>
      <x:c r="C6" s="7" t="str">
        <x:v>МПа</x:v>
      </x:c>
      <x:c r="D6" s="7" t="str">
        <x:v>Допущение упругого расчёта</x:v>
      </x:c>
    </x:row>
    <x:row r="7" ht="44" customHeight="1">
      <x:c r="A7" s="7" t="str">
        <x:v>Плотность</x:v>
      </x:c>
      <x:c r="B7" s="8" t="n">
        <x:v>7850</x:v>
      </x:c>
      <x:c r="C7" s="7" t="str">
        <x:v>кг/м³</x:v>
      </x:c>
      <x:c r="D7" s="7" t="str">
        <x:v>Справочное значение</x:v>
      </x:c>
    </x:row>
    <x:row r="8" ht="44" customHeight="1">
      <x:c r="A8" s="7" t="str">
        <x:v>g</x:v>
      </x:c>
      <x:c r="B8" s="8" t="n">
        <x:v>9.80665</x:v>
      </x:c>
      <x:c r="C8" s="7" t="str">
        <x:v>м/с²</x:v>
      </x:c>
      <x:c r="D8" s="7" t="str">
        <x:v>Константа</x:v>
      </x:c>
    </x:row>
    <x:row r="9" ht="44" customHeight="1">
      <x:c r="A9" s="7" t="str">
        <x:v>Условная огибающая опоры R04</x:v>
      </x:c>
      <x:c r="B9" s="8" t="n">
        <x:v>1418.0686894766482</x:v>
      </x:c>
      <x:c r="C9" s="7" t="str">
        <x:v>Н</x:v>
      </x:c>
      <x:c r="D9" s="7" t="str">
        <x:v>q + трубы + местные 15 кг; не полный расчёт, возможен двойной учёт</x:v>
      </x:c>
    </x:row>
    <x:row r="10" ht="44" customHeight="1">
      <x:c r="A10" s="7" t="str">
        <x:v>Текущий уклон</x:v>
      </x:c>
      <x:c r="B10" s="8" t="n">
        <x:v>1.5</x:v>
      </x:c>
      <x:c r="C10" s="7" t="str">
        <x:v>град</x:v>
      </x:c>
      <x:c r="D10" s="7" t="str">
        <x:v>Временный вариант в диапазоне 1–2°</x:v>
      </x:c>
    </x:row>
    <x:row r="11" ht="44" customHeight="1">
      <x:c r="A11" s="7" t="str">
        <x:v>Максимальный уклон</x:v>
      </x:c>
      <x:c r="B11" s="8" t="n">
        <x:v>2</x:v>
      </x:c>
      <x:c r="C11" s="7" t="str">
        <x:v>град</x:v>
      </x:c>
      <x:c r="D11" s="7" t="str">
        <x:v>Для скатывающей составляющей</x:v>
      </x:c>
    </x:row>
    <x:row r="12" ht="44" customHeight="1">
      <x:c r="A12" s="7" t="str">
        <x:v>Минимальная толщина выбранного седла</x:v>
      </x:c>
      <x:c r="B12" s="8" t="n">
        <x:v>10</x:v>
      </x:c>
      <x:c r="C12" s="7" t="str">
        <x:v>мм</x:v>
      </x:c>
      <x:c r="D12" s="7" t="str">
        <x:v>Кандидат по локальной жёсткости, не утверждённое сечение</x:v>
      </x:c>
    </x:row>
    <x:row r="13" ht="44" customHeight="1">
      <x:c r="A13" s="7" t="str">
        <x:v>Длина седла</x:v>
      </x:c>
      <x:c r="B13" s="8" t="n">
        <x:v>100</x:v>
      </x:c>
      <x:c r="C13" s="7" t="str">
        <x:v>мм</x:v>
      </x:c>
      <x:c r="D13" s="7" t="str">
        <x:v>Габарит вдоль транспортёра</x:v>
      </x:c>
    </x:row>
    <x:row r="14" ht="44" customHeight="1">
      <x:c r="A14" s="7" t="str">
        <x:v>Ширина седла</x:v>
      </x:c>
      <x:c r="B14" s="8" t="n">
        <x:v>60</x:v>
      </x:c>
      <x:c r="C14" s="7" t="str">
        <x:v>мм</x:v>
      </x:c>
      <x:c r="D14" s="7" t="str">
        <x:v>Площадка над трубой</x:v>
      </x:c>
    </x:row>
    <x:row r="15" ht="44" customHeight="1">
      <x:c r="A15" s="7" t="str">
        <x:v>Наружная ширина рельса</x:v>
      </x:c>
      <x:c r="B15" s="8" t="n">
        <x:v>50</x:v>
      </x:c>
      <x:c r="C15" s="7" t="str">
        <x:v>мм</x:v>
      </x:c>
      <x:c r="D15" s="7" t="str">
        <x:v>Труба R03 100×50×3</x:v>
      </x:c>
    </x:row>
    <x:row r="16" ht="44" customHeight="1">
      <x:c r="A16" s="7" t="str">
        <x:v>Наружный радиус рельса</x:v>
      </x:c>
      <x:c r="B16" s="8" t="n">
        <x:v>6</x:v>
      </x:c>
      <x:c r="C16" s="7" t="str">
        <x:v>мм</x:v>
      </x:c>
      <x:c r="D16" s="7" t="str">
        <x:v>Номинальное допущение сечения R03</x:v>
      </x:c>
    </x:row>
    <x:row r="17" ht="44" customHeight="1">
      <x:c r="A17" s="7" t="str">
        <x:v>Ширина верхней трубы</x:v>
      </x:c>
      <x:c r="B17" s="8" t="n">
        <x:v>100</x:v>
      </x:c>
      <x:c r="C17" s="7" t="str">
        <x:v>мм</x:v>
      </x:c>
      <x:c r="D17" s="7" t="str">
        <x:v>Вдоль транспортёра, труба R04 80×100×4</x:v>
      </x:c>
    </x:row>
    <x:row r="18" ht="44" customHeight="1">
      <x:c r="A18" s="7" t="str">
        <x:v>Наружный радиус верхней трубы</x:v>
      </x:c>
      <x:c r="B18" s="8" t="n">
        <x:v>8</x:v>
      </x:c>
      <x:c r="C18" s="7" t="str">
        <x:v>мм</x:v>
      </x:c>
      <x:c r="D18" s="7" t="str">
        <x:v>Номинальное допущение R04</x:v>
      </x:c>
    </x:row>
    <x:row r="19" ht="44" customHeight="1">
      <x:c r="A19" s="7" t="str">
        <x:v>Толщина верхней стенки</x:v>
      </x:c>
      <x:c r="B19" s="8" t="n">
        <x:v>4</x:v>
      </x:c>
      <x:c r="C19" s="7" t="str">
        <x:v>мм</x:v>
      </x:c>
      <x:c r="D19" s="7" t="str">
        <x:v>Свойства поставки не проверены</x:v>
      </x:c>
    </x:row>
    <x:row r="20" ht="44" customHeight="1">
      <x:c r="A20" s="7" t="str">
        <x:v>Ориентир прогиба седла</x:v>
      </x:c>
      <x:c r="B20" s="8" t="n">
        <x:v>0.05</x:v>
      </x:c>
      <x:c r="C20" s="7" t="str">
        <x:v>мм</x:v>
      </x:c>
      <x:c r="D20" s="7" t="str">
        <x:v>Предлагаемый критерий для отдельной упругой полосы, не норматив</x:v>
      </x:c>
    </x:row>
    <x:row r="21" ht="44" customHeight="1">
      <x:c r="A21" s="7" t="str">
        <x:v>Лента по середине</x:v>
      </x:c>
      <x:c r="B21" s="8" t="n">
        <x:v>800</x:v>
      </x:c>
      <x:c r="C21" s="7" t="str">
        <x:v>мм</x:v>
      </x:c>
      <x:c r="D21" s="7" t="str">
        <x:v>Условный отсчёт высоты, точка не подтверждена</x:v>
      </x:c>
    </x:row>
    <x:row r="22" ht="44" customHeight="1">
      <x:c r="A22" s="7" t="str">
        <x:v>Лента — плоскость опирания рельса</x:v>
      </x:c>
      <x:c r="B22" s="8" t="n">
        <x:v>170</x:v>
      </x:c>
      <x:c r="C22" s="7" t="str">
        <x:v>мм</x:v>
      </x:c>
      <x:c r="D22" s="7" t="str">
        <x:v>Допущение, роликами не подтверждено</x:v>
      </x:c>
    </x:row>
    <x:row r="23" ht="44" customHeight="1">
      <x:c r="A23" s="7" t="str">
        <x:v>Стойка R04 без седла</x:v>
      </x:c>
      <x:c r="B23" s="8" t="n">
        <x:v>542</x:v>
      </x:c>
      <x:c r="C23" s="7" t="str">
        <x:v>мм</x:v>
      </x:c>
      <x:c r="D23" s="7" t="str">
        <x:v>Отрезок модельной стойки, не производственная длина</x:v>
      </x:c>
    </x:row>
    <x:row r="24" ht="44" customHeight="1">
      <x:c r="A24" s="7" t="str">
        <x:v>Высота верхней трубы</x:v>
      </x:c>
      <x:c r="B24" s="8" t="n">
        <x:v>80</x:v>
      </x:c>
      <x:c r="C24" s="7" t="str">
        <x:v>мм</x:v>
      </x:c>
      <x:c r="D24" s="7" t="str">
        <x:v>R04</x:v>
      </x:c>
    </x:row>
    <x:row r="25" ht="44" customHeight="1">
      <x:c r="A25" s="7" t="str">
        <x:v>Толщина плиты</x:v>
      </x:c>
      <x:c r="B25" s="8" t="n">
        <x:v>8</x:v>
      </x:c>
      <x:c r="C25" s="7" t="str">
        <x:v>мм</x:v>
      </x:c>
      <x:c r="D25" s="7" t="str">
        <x:v>Геометрическая заготовка R04</x:v>
      </x:c>
    </x:row>
    <x:row r="26" ht="44" customHeight="1">
      <x:c r="A26" s="7" t="str">
        <x:v>Площадь сечения стойки</x:v>
      </x:c>
      <x:c r="B26" s="8" t="n">
        <x:v>540.8230016469242</x:v>
      </x:c>
      <x:c r="C26" s="7" t="str">
        <x:v>мм²</x:v>
      </x:c>
      <x:c r="D26" s="7" t="str">
        <x:v>Расчёт геометрии R04; размеры труб здесь не изменяются</x:v>
      </x:c>
    </x:row>
    <x:row r="27" ht="44" customHeight="1">
      <x:c r="A27" s="7" t="str">
        <x:v>Площадь сечения поперечины</x:v>
      </x:c>
      <x:c r="B27" s="8" t="n">
        <x:v>1334.7964473723105</x:v>
      </x:c>
      <x:c r="C27" s="7" t="str">
        <x:v>мм²</x:v>
      </x:c>
      <x:c r="D27" s="7" t="str">
        <x:v>Расчёт геометрии R04</x:v>
      </x:c>
    </x:row>
    <x:row r="28" ht="44" customHeight="1">
      <x:c r="A28" s="7" t="str">
        <x:v>Площадь сечения рельса</x:v>
      </x:c>
      <x:c r="B28" s="8" t="n">
        <x:v>840.8230016469242</x:v>
      </x:c>
      <x:c r="C28" s="7" t="str">
        <x:v>мм²</x:v>
      </x:c>
      <x:c r="D28" s="7" t="str">
        <x:v>Расчёт геометрии R03</x:v>
      </x:c>
    </x:row>
    <x:row r="29" ht="44" customHeight="1">
      <x:c r="A29" s="7" t="str">
        <x:v>Размер плиты продольный</x:v>
      </x:c>
      <x:c r="B29" s="8" t="n">
        <x:v>120</x:v>
      </x:c>
      <x:c r="C29" s="7" t="str">
        <x:v>мм</x:v>
      </x:c>
      <x:c r="D29" s="7" t="str">
        <x:v>R04, без расчёта основания</x:v>
      </x:c>
    </x:row>
    <x:row r="30" ht="44" customHeight="1">
      <x:c r="A30" s="7" t="str">
        <x:v>Размер плиты поперечный</x:v>
      </x:c>
      <x:c r="B30" s="8" t="n">
        <x:v>150</x:v>
      </x:c>
      <x:c r="C30" s="7" t="str">
        <x:v>мм</x:v>
      </x:c>
      <x:c r="D30" s="7" t="str">
        <x:v>R04</x:v>
      </x:c>
    </x:row>
    <x:row r="31" ht="44" customHeight="1">
      <x:c r="A31" s="7" t="str">
        <x:v>Длина справочного отрезка рельса</x:v>
      </x:c>
      <x:c r="B31" s="8" t="n">
        <x:v>300</x:v>
      </x:c>
      <x:c r="C31" s="7" t="str">
        <x:v>мм</x:v>
      </x:c>
      <x:c r="D31" s="7" t="str">
        <x:v>Четыре отрезка для узла стыка; не полные модули</x:v>
      </x:c>
    </x:row>
    <x:row r="32" ht="44" customHeight="1">
      <x:c r="A32" s="7" t="str">
        <x:v>Длина поперечины</x:v>
      </x:c>
      <x:c r="B32" s="8" t="n">
        <x:v>700</x:v>
      </x:c>
      <x:c r="C32" s="7" t="str">
        <x:v>мм</x:v>
      </x:c>
      <x:c r="D32" s="7" t="str">
        <x:v>R04</x:v>
      </x:c>
    </x:row>
    <x:row r="33" ht="44" customHeight="1">
      <x:c r="A33" s="7" t="str">
        <x:v>Пролёт верхней стенки</x:v>
      </x:c>
      <x:c r="B33" s="9" t="n">
        <x:f>B17-2*B19</x:f>
        <x:v>92</x:v>
      </x:c>
      <x:c r="C33" s="7" t="str">
        <x:v>мм</x:v>
      </x:c>
      <x:c r="D33" s="7" t="str">
        <x:v>Ширина трубы минус две толщины стенок</x:v>
      </x:c>
    </x:row>
    <x:row r="34" ht="35" customHeight="1">
      <x:c r="A34" s="2"/>
      <x:c r="B34" s="2"/>
      <x:c r="C34" s="2"/>
      <x:c r="D34" s="2"/>
    </x:row>
    <x:row r="35" ht="35" customHeight="1">
      <x:c r="A35" s="2"/>
      <x:c r="B35" s="2"/>
      <x:c r="C35" s="2"/>
      <x:c r="D35" s="2"/>
    </x:row>
  </x:sheetData>
  <x:pageMargins left="0.7" right="0.7" top="0.75" bottom="0.75" header="0.3" footer="0.3"/>
</x:worksheet>
</file>