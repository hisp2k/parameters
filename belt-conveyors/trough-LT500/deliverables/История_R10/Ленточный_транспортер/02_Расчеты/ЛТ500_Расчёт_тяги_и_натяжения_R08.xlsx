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f583e853464b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ежим" sheetId="1" r:id="Re8a82c8ca12c41a1"/>
    <x:sheet xmlns:r="http://schemas.openxmlformats.org/officeDocument/2006/relationships" name="Сценарии" sheetId="2" r:id="R689f0d0090e143ff"/>
    <x:sheet xmlns:r="http://schemas.openxmlformats.org/officeDocument/2006/relationships" name="Исходные" sheetId="3" r:id="Ree15a0b0ce434d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00"/>
    <x:numFmt numFmtId="202" formatCode="0.00000"/>
  </x:numFmts>
  <x:fonts count="4">
    <x:font>
      <x:sz val="11"/>
      <x:name val="Carlito"/>
    </x:font>
    <x:font>
      <x:sz val="11"/>
      <x:color rgb="FF202A33"/>
      <x:name val="Arial"/>
    </x:font>
    <x:font>
      <x:b/>
      <x:sz val="15"/>
      <x:color rgb="FF202A33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C52"/>
      </x:patternFill>
    </x:fill>
    <x:fill>
      <x:patternFill patternType="solid">
        <x:fgColor rgb="FFFFF0C2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d9a80893ae4914" /><Relationship Type="http://schemas.openxmlformats.org/officeDocument/2006/relationships/theme" Target="/xl/theme/theme1.xml" Id="R70aacdc03ffc4f10" /><Relationship Type="http://schemas.openxmlformats.org/officeDocument/2006/relationships/sharedStrings" Target="/xl/sharedStrings.xml" Id="Re95cd285bad84721" /><Relationship Type="http://schemas.openxmlformats.org/officeDocument/2006/relationships/worksheet" Target="/xl/worksheets/sheet1.xml" Id="Re8a82c8ca12c41a1" /><Relationship Type="http://schemas.openxmlformats.org/officeDocument/2006/relationships/worksheet" Target="/xl/worksheets/sheet2.xml" Id="R689f0d0090e143ff" /><Relationship Type="http://schemas.openxmlformats.org/officeDocument/2006/relationships/worksheet" Target="/xl/worksheets/sheet3.xml" Id="Ree15a0b0ce434d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31" customHeight="1">
      <x:c r="A1" s="2"/>
      <x:c r="B1" s="2"/>
      <x:c r="C1" s="2"/>
      <x:c r="D1" s="2"/>
    </x:row>
    <x:row r="2" ht="31" customHeight="1">
      <x:c r="A2" s="3" t="str">
        <x:v>Тяга и натяжение R08</x:v>
      </x:c>
      <x:c r="B2" s="2"/>
      <x:c r="C2" s="2"/>
      <x:c r="D2" s="2"/>
    </x:row>
    <x:row r="3" ht="31" customHeight="1">
      <x:c r="A3" s="2"/>
      <x:c r="B3" s="2"/>
      <x:c r="C3" s="2"/>
      <x:c r="D3" s="2"/>
    </x:row>
    <x:row r="4" ht="46" customHeight="1">
      <x:c r="A4" s="6" t="str">
        <x:v>Величина</x:v>
      </x:c>
      <x:c r="B4" s="6" t="str">
        <x:v>Работа</x:v>
      </x:c>
      <x:c r="C4" s="6" t="str">
        <x:v>Пуск</x:v>
      </x:c>
      <x:c r="D4" s="6" t="str">
        <x:v>Остановка</x:v>
      </x:c>
    </x:row>
    <x:row r="5" ht="31" customHeight="1">
      <x:c r="A5" s="2"/>
      <x:c r="B5" s="2"/>
      <x:c r="C5" s="2"/>
      <x:c r="D5" s="2"/>
    </x:row>
    <x:row r="6" ht="35" customHeight="1">
      <x:c r="A6" s="7" t="str">
        <x:v>Ускорение, м/с²</x:v>
      </x:c>
      <x:c r="B6" s="11" t="n">
        <x:f>0</x:f>
        <x:v>0</x:v>
      </x:c>
      <x:c r="C6" s="11" t="n">
        <x:f>IF(OR(ISBLANK('Исходные'!B23),'Исходные'!B23&lt;=0),"нет времени",'Исходные'!B12/'Исходные'!B23)</x:f>
        <x:v>0.06666666666666667</x:v>
      </x:c>
      <x:c r="D6" s="11" t="n">
        <x:f>IF(OR(ISBLANK('Исходные'!B24),'Исходные'!B24&lt;=0),"нет времени",-'Исходные'!B12/'Исходные'!B24)</x:f>
        <x:v>-0.06666666666666667</x:v>
      </x:c>
    </x:row>
    <x:row r="7" ht="35" customHeight="1">
      <x:c r="A7" s="7" t="str">
        <x:v>Множитель сопротивления</x:v>
      </x:c>
      <x:c r="B7" s="11" t="n">
        <x:f>1</x:f>
        <x:v>1</x:v>
      </x:c>
      <x:c r="C7" s="11" t="n">
        <x:f>'Исходные'!B25</x:f>
        <x:v>1.5</x:v>
      </x:c>
      <x:c r="D7" s="11" t="n">
        <x:f>1</x:f>
        <x:v>1</x:v>
      </x:c>
    </x:row>
    <x:row r="8" ht="35" customHeight="1">
      <x:c r="A8" s="7" t="str">
        <x:v>r рабочей ветви, Н/м</x:v>
      </x:c>
      <x:c r="B8" s="11" t="n">
        <x:f>IF(NOT(ISNUMBER(B6)),"нет времени",B7*'Исходные'!B13*'Исходные'!B26*('Исходные'!B7+'Исходные'!B9)*COS('Исходные'!B11*PI()/180)-'Исходные'!B26*('Исходные'!B7+'Исходные'!B9)*SIN('Исходные'!B11*PI()/180)+('Исходные'!B7+'Исходные'!B9+'Исходные'!B10/(2*'Исходные'!B6))*B6)</x:f>
        <x:v>1.3086680269509774</x:v>
      </x:c>
      <x:c r="C8" s="11" t="n">
        <x:f>IF(NOT(ISNUMBER(C6)),"нет времени",C7*'Исходные'!B13*'Исходные'!B26*('Исходные'!B7+'Исходные'!B9)*COS('Исходные'!B11*PI()/180)-'Исходные'!B26*('Исходные'!B7+'Исходные'!B9)*SIN('Исходные'!B11*PI()/180)+('Исходные'!B7+'Исходные'!B9+'Исходные'!B10/(2*'Исходные'!B6))*C6)</x:f>
        <x:v>8.988728350919375</x:v>
      </x:c>
      <x:c r="D8" s="11" t="n">
        <x:f>IF(NOT(ISNUMBER(D6)),"нет времени",D7*'Исходные'!B13*'Исходные'!B26*('Исходные'!B7+'Исходные'!B9)*COS('Исходные'!B11*PI()/180)-'Исходные'!B26*('Исходные'!B7+'Исходные'!B9)*SIN('Исходные'!B11*PI()/180)+('Исходные'!B7+'Исходные'!B9+'Исходные'!B10/(2*'Исходные'!B6))*D6)</x:f>
        <x:v>-1.2246653063823558</x:v>
      </x:c>
    </x:row>
    <x:row r="9" ht="35" customHeight="1">
      <x:c r="A9" s="7" t="str">
        <x:v>r обратной ветви, Н/м</x:v>
      </x:c>
      <x:c r="B9" s="11" t="n">
        <x:f>IF(NOT(ISNUMBER(B6)),"нет времени",B7*'Исходные'!B13*'Исходные'!B26*'Исходные'!B9*COS('Исходные'!B11*PI()/180)+'Исходные'!B26*'Исходные'!B9*SIN('Исходные'!B11*PI()/180)+('Исходные'!B9+'Исходные'!B10/(2*'Исходные'!B6))*B6)</x:f>
        <x:v>2.754034276512753</x:v>
      </x:c>
      <x:c r="C9" s="11" t="n">
        <x:f>IF(NOT(ISNUMBER(C6)),"нет времени",C7*'Исходные'!B13*'Исходные'!B26*'Исходные'!B9*COS('Исходные'!B11*PI()/180)+'Исходные'!B26*'Исходные'!B9*SIN('Исходные'!B11*PI()/180)+('Исходные'!B9+'Исходные'!B10/(2*'Исходные'!B6))*C6)</x:f>
        <x:v>4.022614322793952</x:v>
      </x:c>
      <x:c r="D9" s="11" t="n">
        <x:f>IF(NOT(ISNUMBER(D6)),"нет времени",D7*'Исходные'!B13*'Исходные'!B26*'Исходные'!B9*COS('Исходные'!B11*PI()/180)+'Исходные'!B26*'Исходные'!B9*SIN('Исходные'!B11*PI()/180)+('Исходные'!B9+'Исходные'!B10/(2*'Исходные'!B6))*D6)</x:f>
        <x:v>2.22070094317942</x:v>
      </x:c>
    </x:row>
    <x:row r="10" ht="35" customHeight="1">
      <x:c r="A10" s="7" t="str">
        <x:v>Скачок от15кг, Н</x:v>
      </x:c>
      <x:c r="B10" s="11" t="n">
        <x:f>IF(NOT(ISNUMBER(B6)),"нет времени",'Исходные'!B8*(B7*'Исходные'!B13*'Исходные'!B26*COS('Исходные'!B11*PI()/180)-'Исходные'!B26*SIN('Исходные'!B11*PI()/180)+B6))</x:f>
        <x:v>0.560857725836133</x:v>
      </x:c>
      <x:c r="C10" s="11" t="n">
        <x:f>IF(NOT(ISNUMBER(C6)),"нет времени",'Исходные'!B8*(C7*'Исходные'!B13*'Исходные'!B26*COS('Исходные'!B11*PI()/180)-'Исходные'!B26*SIN('Исходные'!B11*PI()/180)+C6))</x:f>
        <x:v>3.7665978646797313</x:v>
      </x:c>
      <x:c r="D10" s="11" t="n">
        <x:f>IF(NOT(ISNUMBER(D6)),"нет времени",'Исходные'!B8*(D7*'Исходные'!B13*'Исходные'!B26*COS('Исходные'!B11*PI()/180)-'Исходные'!B26*SIN('Исходные'!B11*PI()/180)+D6))</x:f>
        <x:v>-0.439142274163867</x:v>
      </x:c>
    </x:row>
    <x:row r="11" ht="35" customHeight="1">
      <x:c r="A11" s="7" t="str">
        <x:v>Сосредоточенное сопротивление, Н</x:v>
      </x:c>
      <x:c r="B11" s="11" t="n">
        <x:f>IF(NOT(ISNUMBER(B6)),"нет времени",B7*'Исходные'!B14)</x:f>
        <x:v>100</x:v>
      </x:c>
      <x:c r="C11" s="11" t="n">
        <x:f>IF(NOT(ISNUMBER(C6)),"нет времени",C7*'Исходные'!B14)</x:f>
        <x:v>150</x:v>
      </x:c>
      <x:c r="D11" s="11" t="n">
        <x:f>IF(NOT(ISNUMBER(D6)),"нет времени",D7*'Исходные'!B14)</x:f>
        <x:v>100</x:v>
      </x:c>
    </x:row>
    <x:row r="12" ht="35" customHeight="1">
      <x:c r="A12" s="7" t="str">
        <x:v>Натяжение хвоста относительно выхода, Н</x:v>
      </x:c>
      <x:c r="B12" s="11" t="n">
        <x:f>IF(NOT(ISNUMBER(B6)),"нет времени",B11+B9*'Исходные'!B6)</x:f>
        <x:v>127.54034276512753</x:v>
      </x:c>
      <x:c r="C12" s="11" t="n">
        <x:f>IF(NOT(ISNUMBER(C6)),"нет времени",C11+C9*'Исходные'!B6)</x:f>
        <x:v>190.22614322793953</x:v>
      </x:c>
      <x:c r="D12" s="11" t="n">
        <x:f>IF(NOT(ISNUMBER(D6)),"нет времени",D11+D9*'Исходные'!B6)</x:f>
        <x:v>122.2070094317942</x:v>
      </x:c>
    </x:row>
    <x:row r="13" ht="35" customHeight="1">
      <x:c r="A13" s="7" t="str">
        <x:v>Fu, Н (знак по движению)</x:v>
      </x:c>
      <x:c r="B13" s="11" t="n">
        <x:f>IF(NOT(ISNUMBER(B6)),"нет времени",B12+B8*'Исходные'!B6+B10)</x:f>
        <x:v>141.18788076047346</x:v>
      </x:c>
      <x:c r="C13" s="11" t="n">
        <x:f>IF(NOT(ISNUMBER(C6)),"нет времени",C12+C8*'Исходные'!B6+C10)</x:f>
        <x:v>283.88002460181303</x:v>
      </x:c>
      <x:c r="D13" s="11" t="n">
        <x:f>IF(NOT(ISNUMBER(D6)),"нет времени",D12+D8*'Исходные'!B6+D10)</x:f>
        <x:v>109.52121409380678</x:v>
      </x:c>
    </x:row>
    <x:row r="14" ht="35" customHeight="1">
      <x:c r="A14" s="7" t="str">
        <x:v>Минимум рабочей относительно выхода, Н</x:v>
      </x:c>
      <x:c r="B14" s="11" t="n">
        <x:f>IF(NOT(ISNUMBER(B6)),"нет времени",B12+MIN(0,B8*'Исходные'!B6)+MIN(0,B10))</x:f>
        <x:v>127.54034276512753</x:v>
      </x:c>
      <x:c r="C14" s="11" t="n">
        <x:f>IF(NOT(ISNUMBER(C6)),"нет времени",C12+MIN(0,C8*'Исходные'!B6)+MIN(0,C10))</x:f>
        <x:v>190.22614322793953</x:v>
      </x:c>
      <x:c r="D14" s="11" t="n">
        <x:f>IF(NOT(ISNUMBER(D6)),"нет времени",D12+MIN(0,D8*'Исходные'!B6)+MIN(0,D10))</x:f>
        <x:v>109.52121409380678</x:v>
      </x:c>
    </x:row>
    <x:row r="15" ht="35" customHeight="1">
      <x:c r="A15" s="7" t="str">
        <x:v>Минимум обратной относительно выхода, Н</x:v>
      </x:c>
      <x:c r="B15" s="11" t="n">
        <x:f>IF(NOT(ISNUMBER(B6)),"нет времени",MIN(B11,B12))</x:f>
        <x:v>100</x:v>
      </x:c>
      <x:c r="C15" s="11" t="n">
        <x:f>IF(NOT(ISNUMBER(C6)),"нет времени",MIN(C11,C12))</x:f>
        <x:v>150</x:v>
      </x:c>
      <x:c r="D15" s="11" t="n">
        <x:f>IF(NOT(ISNUMBER(D6)),"нет времени",MIN(D11,D12))</x:f>
        <x:v>100</x:v>
      </x:c>
    </x:row>
    <x:row r="16" ht="35" customHeight="1">
      <x:c r="A16" s="7" t="str">
        <x:v>T для провисания рабочей, Н</x:v>
      </x:c>
      <x:c r="B16" s="11" t="n">
        <x:f>IF(NOT(ISNUMBER(B6)),"нет времени",'Исходные'!B26*COS('Исходные'!B11*PI()/180)*(('Исходные'!B7+'Исходные'!B9)*'Исходные'!B17/(8*'Исходные'!B18)+'Исходные'!B8/(4*'Исходные'!B18)))</x:f>
        <x:v>6892.937933886245</x:v>
      </x:c>
      <x:c r="C16" s="11" t="n">
        <x:f>IF(NOT(ISNUMBER(C6)),"нет времени",'Исходные'!B26*COS('Исходные'!B11*PI()/180)*(('Исходные'!B7+'Исходные'!B9)*'Исходные'!B17/(8*'Исходные'!B18)+'Исходные'!B8/(4*'Исходные'!B18)))</x:f>
        <x:v>6892.937933886245</x:v>
      </x:c>
      <x:c r="D16" s="11" t="n">
        <x:f>IF(NOT(ISNUMBER(D6)),"нет времени",'Исходные'!B26*COS('Исходные'!B11*PI()/180)*(('Исходные'!B7+'Исходные'!B9)*'Исходные'!B17/(8*'Исходные'!B18)+'Исходные'!B8/(4*'Исходные'!B18)))</x:f>
        <x:v>6892.937933886245</x:v>
      </x:c>
    </x:row>
    <x:row r="17" ht="35" customHeight="1">
      <x:c r="A17" s="7" t="str">
        <x:v>T для провисания обратной, Н</x:v>
      </x:c>
      <x:c r="B17" s="11" t="n">
        <x:f>IF(NOT(ISNUMBER(B6)),"нет времени",'Исходные'!B26*COS('Исходные'!B11*PI()/180)*'Исходные'!B9*'Исходные'!B19/(8*'Исходные'!B20))</x:f>
        <x:v>612.7055941232218</x:v>
      </x:c>
      <x:c r="C17" s="11" t="n">
        <x:f>IF(NOT(ISNUMBER(C6)),"нет времени",'Исходные'!B26*COS('Исходные'!B11*PI()/180)*'Исходные'!B9*'Исходные'!B19/(8*'Исходные'!B20))</x:f>
        <x:v>612.7055941232218</x:v>
      </x:c>
      <x:c r="D17" s="11" t="n">
        <x:f>IF(NOT(ISNUMBER(D6)),"нет времени",'Исходные'!B26*COS('Исходные'!B11*PI()/180)*'Исходные'!B9*'Исходные'!B19/(8*'Исходные'!B20))</x:f>
        <x:v>612.7055941232218</x:v>
      </x:c>
    </x:row>
    <x:row r="18" ht="35" customHeight="1">
      <x:c r="A18" s="7" t="str">
        <x:v>Низкое T для сцепления, Н</x:v>
      </x:c>
      <x:c r="B18" s="11" t="n">
        <x:f>IF(NOT(ISNUMBER(B6)),"нет времени",IF(ABS(B13)&lt;10^-12,0,IF(OR(ISBLANK('Исходные'!B15),'Исходные'!B15&lt;=0),"нет сцепления",ABS(B13)/(EXP('Исходные'!B15*'Исходные'!B16*PI()/180)-1))))</x:f>
        <x:v>161.45794255986002</x:v>
      </x:c>
      <x:c r="C18" s="11" t="n">
        <x:f>IF(NOT(ISNUMBER(C6)),"нет времени",IF(ABS(C13)&lt;10^-12,0,IF(OR(ISBLANK('Исходные'!B15),'Исходные'!B15&lt;=0),"нет сцепления",ABS(C13)/(EXP('Исходные'!B15*'Исходные'!B16*PI()/180)-1))))</x:f>
        <x:v>324.63611224401154</x:v>
      </x:c>
      <x:c r="D18" s="11" t="n">
        <x:f>IF(NOT(ISNUMBER(D6)),"нет времени",IF(ABS(D13)&lt;10^-12,0,IF(OR(ISBLANK('Исходные'!B15),'Исходные'!B15&lt;=0),"нет сцепления",ABS(D13)/(EXP('Исходные'!B15*'Исходные'!B16*PI()/180)-1))))</x:f>
        <x:v>125.24495586305653</x:v>
      </x:c>
    </x:row>
    <x:row r="19" ht="35" customHeight="1">
      <x:c r="A19" s="7" t="str">
        <x:v>Минимально требуемое T выхода, Н</x:v>
      </x:c>
      <x:c r="B19" s="11" t="n">
        <x:f>IF(NOT(ISNUMBER(B6)),"нет времени",IF(NOT(ISNUMBER(B18)),"нет сцепления",MAX(B16-B14,B17-B15,B18-MIN(0,B13),-MIN(0,B14,B15,B13))))</x:f>
        <x:v>6765.397591121118</x:v>
      </x:c>
      <x:c r="C19" s="11" t="n">
        <x:f>IF(NOT(ISNUMBER(C6)),"нет времени",IF(NOT(ISNUMBER(C18)),"нет сцепления",MAX(C16-C14,C17-C15,C18-MIN(0,C13),-MIN(0,C14,C15,C13))))</x:f>
        <x:v>6702.711790658306</x:v>
      </x:c>
      <x:c r="D19" s="11" t="n">
        <x:f>IF(NOT(ISNUMBER(D6)),"нет времени",IF(NOT(ISNUMBER(D18)),"нет сцепления",MAX(D16-D14,D17-D15,D18-MIN(0,D13),-MIN(0,D14,D15,D13))))</x:f>
        <x:v>6783.416719792439</x:v>
      </x:c>
    </x:row>
    <x:row r="20" ht="35" customHeight="1">
      <x:c r="A20" s="7" t="str">
        <x:v>T входа при минимуме, Н</x:v>
      </x:c>
      <x:c r="B20" s="11" t="n">
        <x:f>IF(NOT(ISNUMBER(B6)),"нет времени",IF(ISNUMBER(B19),B19+B13,"нет сцепления"))</x:f>
        <x:v>6906.585471881592</x:v>
      </x:c>
      <x:c r="C20" s="11" t="n">
        <x:f>IF(NOT(ISNUMBER(C6)),"нет времени",IF(ISNUMBER(C19),C19+C13,"нет сцепления"))</x:f>
        <x:v>6986.591815260119</x:v>
      </x:c>
      <x:c r="D20" s="11" t="n">
        <x:f>IF(NOT(ISNUMBER(D6)),"нет времени",IF(ISNUMBER(D19),D19+D13,"нет сцепления"))</x:f>
        <x:v>6892.937933886245</x:v>
      </x:c>
    </x:row>
    <x:row r="21" ht="35" customHeight="1">
      <x:c r="A21" s="7" t="str">
        <x:v>T хвоста при минимуме, Н</x:v>
      </x:c>
      <x:c r="B21" s="11" t="n">
        <x:f>IF(NOT(ISNUMBER(B6)),"нет времени",IF(ISNUMBER(B19),B19+B12,"нет сцепления"))</x:f>
        <x:v>6892.937933886245</x:v>
      </x:c>
      <x:c r="C21" s="11" t="n">
        <x:f>IF(NOT(ISNUMBER(C6)),"нет времени",IF(ISNUMBER(C19),C19+C12,"нет сцепления"))</x:f>
        <x:v>6892.937933886245</x:v>
      </x:c>
      <x:c r="D21" s="11" t="n">
        <x:f>IF(NOT(ISNUMBER(D6)),"нет времени",IF(ISNUMBER(D19),D19+D12,"нет сцепления"))</x:f>
        <x:v>6905.623729224233</x:v>
      </x:c>
    </x:row>
    <x:row r="22" ht="35" customHeight="1">
      <x:c r="A22" s="7" t="str">
        <x:v>R головного барабана при минимуме, Н</x:v>
      </x:c>
      <x:c r="B22" s="11" t="n">
        <x:f>IF(NOT(ISNUMBER(B6)),"нет времени",IF(ISNUMBER(B19),B19+B20,"нет сцепления"))</x:f>
        <x:v>13671.98306300271</x:v>
      </x:c>
      <x:c r="C22" s="11" t="n">
        <x:f>IF(NOT(ISNUMBER(C6)),"нет времени",IF(ISNUMBER(C19),C19+C20,"нет сцепления"))</x:f>
        <x:v>13689.303605918425</x:v>
      </x:c>
      <x:c r="D22" s="11" t="n">
        <x:f>IF(NOT(ISNUMBER(D6)),"нет времени",IF(ISNUMBER(D19),D19+D20,"нет сцепления"))</x:f>
        <x:v>13676.354653678685</x:v>
      </x:c>
    </x:row>
    <x:row r="23" ht="35" customHeight="1">
      <x:c r="A23" s="7" t="str">
        <x:v>R хвостового барабана при минимуме, Н</x:v>
      </x:c>
      <x:c r="B23" s="11" t="n">
        <x:f>IF(NOT(ISNUMBER(B6)),"нет времени",IF(ISNUMBER(B19),2*B21,"нет сцепления"))</x:f>
        <x:v>13785.87586777249</x:v>
      </x:c>
      <x:c r="C23" s="11" t="n">
        <x:f>IF(NOT(ISNUMBER(C6)),"нет времени",IF(ISNUMBER(C19),2*C21,"нет сцепления"))</x:f>
        <x:v>13785.87586777249</x:v>
      </x:c>
      <x:c r="D23" s="11" t="n">
        <x:f>IF(NOT(ISNUMBER(D6)),"нет времени",IF(ISNUMBER(D19),2*D21,"нет сцепления"))</x:f>
        <x:v>13811.247458448466</x:v>
      </x:c>
    </x:row>
    <x:row r="24" ht="35" customHeight="1">
      <x:c r="A24" s="7" t="str">
        <x:v>Максимум T по контуру при минимуме, Н</x:v>
      </x:c>
      <x:c r="B24" s="11" t="n">
        <x:f>IF(NOT(ISNUMBER(B6)),"нет времени",IF(ISNUMBER(B19),B19+MAX(0,B11,B12,B12+MAX(0,B8*'Исходные'!B6)+MAX(0,B10),B13),"нет сцепления"))</x:f>
        <x:v>6906.585471881592</x:v>
      </x:c>
      <x:c r="C24" s="11" t="n">
        <x:f>IF(NOT(ISNUMBER(C6)),"нет времени",IF(ISNUMBER(C19),C19+MAX(0,C11,C12,C12+MAX(0,C8*'Исходные'!B6)+MAX(0,C10),C13),"нет сцепления"))</x:f>
        <x:v>6986.591815260119</x:v>
      </x:c>
      <x:c r="D24" s="11" t="n">
        <x:f>IF(NOT(ISNUMBER(D6)),"нет времени",IF(ISNUMBER(D19),D19+MAX(0,D11,D12,D12+MAX(0,D8*'Исходные'!B6)+MAX(0,D10),D13),"нет сцепления"))</x:f>
        <x:v>6905.623729224233</x:v>
      </x:c>
    </x:row>
    <x:row r="25" ht="35" customHeight="1">
      <x:c r="A25" s="7" t="str">
        <x:v>Момент ленты при D примера, Н·м</x:v>
      </x:c>
      <x:c r="B25" s="11" t="n">
        <x:f>IF(NOT(ISNUMBER(B6)),"нет времени",B13*'Исходные'!B21/2)</x:f>
        <x:v>14.118788076047347</x:v>
      </x:c>
      <x:c r="C25" s="11" t="n">
        <x:f>IF(NOT(ISNUMBER(C6)),"нет времени",C13*'Исходные'!B21/2)</x:f>
        <x:v>28.388002460181305</x:v>
      </x:c>
      <x:c r="D25" s="11" t="n">
        <x:f>IF(NOT(ISNUMBER(D6)),"нет времени",D13*'Исходные'!B21/2)</x:f>
        <x:v>10.952121409380679</x:v>
      </x:c>
    </x:row>
    <x:row r="26" ht="35" customHeight="1">
      <x:c r="A26" s="7" t="str">
        <x:v>Мгновенная мощность ленты при v, кВт</x:v>
      </x:c>
      <x:c r="B26" s="12" t="n">
        <x:f>IF(NOT(ISNUMBER(B6)),"нет времени",B13*'Исходные'!B12/1000)</x:f>
        <x:v>0.02823757615209469</x:v>
      </x:c>
      <x:c r="C26" s="12" t="n">
        <x:f>IF(NOT(ISNUMBER(C6)),"нет времени",C13*'Исходные'!B12/1000)</x:f>
        <x:v>0.05677600492036261</x:v>
      </x:c>
      <x:c r="D26" s="12" t="n">
        <x:f>IF(NOT(ISNUMBER(D6)),"нет времени",D13*'Исходные'!B12/1000)</x:f>
        <x:v>0.021904242818761358</x:v>
      </x:c>
    </x:row>
    <x:row r="27" ht="35" customHeight="1">
      <x:c r="A27" s="7" t="str">
        <x:v>Среднее смещение T по контуру, Н</x:v>
      </x:c>
      <x:c r="B27" s="11" t="n">
        <x:f>IF(NOT(ISNUMBER(B6)),"нет времени",B11+(.75*B9+.25*B8)*'Исходные'!B6+.5*B10*(1-'Исходные'!B28))</x:f>
        <x:v>124.06714157268212</x:v>
      </x:c>
      <x:c r="C27" s="11" t="n">
        <x:f>IF(NOT(ISNUMBER(C6)),"нет времени",C11+(.75*C9+.25*C8)*'Исходные'!B6+.5*C10*(1-'Исходные'!B28))</x:f>
        <x:v>203.58307776442302</x:v>
      </x:c>
      <x:c r="D27" s="11" t="n">
        <x:f>IF(NOT(ISNUMBER(D6)),"нет времени",D11+(.75*D9+.25*D8)*'Исходные'!B6+.5*D10*(1-'Исходные'!B28))</x:f>
        <x:v>113.48380823934879</x:v>
      </x:c>
    </x:row>
    <x:row r="28" ht="35" customHeight="1">
      <x:c r="A28" s="7" t="str">
        <x:v>T выхода при постоянном среднем, Н</x:v>
      </x:c>
      <x:c r="B28" s="11" t="n">
        <x:f>IF(NOT(ISNUMBER(B6)),"нет времени",'Исходные'!B29-B27)</x:f>
        <x:v>6925.306742764649</x:v>
      </x:c>
      <x:c r="C28" s="11" t="n">
        <x:f>IF(NOT(ISNUMBER(C6)),"нет времени",'Исходные'!B29-C27)</x:f>
        <x:v>6845.790806572908</x:v>
      </x:c>
      <x:c r="D28" s="11" t="n">
        <x:f>IF(NOT(ISNUMBER(D6)),"нет времени",'Исходные'!B29-D27)</x:f>
        <x:v>6935.890076097982</x:v>
      </x:c>
    </x:row>
    <x:row r="29" ht="35" customHeight="1">
      <x:c r="A29" s="7" t="str">
        <x:v>T входа при постоянном среднем, Н</x:v>
      </x:c>
      <x:c r="B29" s="11" t="n">
        <x:f>IF(NOT(ISNUMBER(B6)),"нет времени",B28+B13)</x:f>
        <x:v>7066.494623525123</x:v>
      </x:c>
      <x:c r="C29" s="11" t="n">
        <x:f>IF(NOT(ISNUMBER(C6)),"нет времени",C28+C13)</x:f>
        <x:v>7129.670831174721</x:v>
      </x:c>
      <x:c r="D29" s="11" t="n">
        <x:f>IF(NOT(ISNUMBER(D6)),"нет времени",D28+D13)</x:f>
        <x:v>7045.411290191789</x:v>
      </x:c>
    </x:row>
    <x:row r="30" ht="35" customHeight="1">
      <x:c r="A30" s="7" t="str">
        <x:v>T хвоста при постоянном среднем, Н</x:v>
      </x:c>
      <x:c r="B30" s="11" t="n">
        <x:f>IF(NOT(ISNUMBER(B6)),"нет времени",B28+B12)</x:f>
        <x:v>7052.847085529776</x:v>
      </x:c>
      <x:c r="C30" s="11" t="n">
        <x:f>IF(NOT(ISNUMBER(C6)),"нет времени",C28+C12)</x:f>
        <x:v>7036.016949800847</x:v>
      </x:c>
      <x:c r="D30" s="11" t="n">
        <x:f>IF(NOT(ISNUMBER(D6)),"нет времени",D28+D12)</x:f>
        <x:v>7058.097085529776</x:v>
      </x:c>
    </x:row>
    <x:row r="31" ht="35" customHeight="1">
      <x:c r="A31" s="7" t="str">
        <x:v>R головного при постоянном среднем, Н</x:v>
      </x:c>
      <x:c r="B31" s="11" t="n">
        <x:f>IF(NOT(ISNUMBER(B6)),"нет времени",B28+B29)</x:f>
        <x:v>13991.801366289772</x:v>
      </x:c>
      <x:c r="C31" s="11" t="n">
        <x:f>IF(NOT(ISNUMBER(C6)),"нет времени",C28+C29)</x:f>
        <x:v>13975.461637747629</x:v>
      </x:c>
      <x:c r="D31" s="11" t="n">
        <x:f>IF(NOT(ISNUMBER(D6)),"нет времени",D28+D29)</x:f>
        <x:v>13981.301366289772</x:v>
      </x:c>
    </x:row>
    <x:row r="32" ht="35" customHeight="1">
      <x:c r="A32" s="7" t="str">
        <x:v>R хвостового при постоянном среднем, Н</x:v>
      </x:c>
      <x:c r="B32" s="11" t="n">
        <x:f>IF(NOT(ISNUMBER(B6)),"нет времени",2*B30)</x:f>
        <x:v>14105.694171059553</x:v>
      </x:c>
      <x:c r="C32" s="11" t="n">
        <x:f>IF(NOT(ISNUMBER(C6)),"нет времени",2*C30)</x:f>
        <x:v>14072.033899601694</x:v>
      </x:c>
      <x:c r="D32" s="11" t="n">
        <x:f>IF(NOT(ISNUMBER(D6)),"нет времени",2*D30)</x:f>
        <x:v>14116.194171059553</x:v>
      </x:c>
    </x:row>
    <x:row r="33" ht="35" customHeight="1">
      <x:c r="A33" s="7" t="str">
        <x:v>Соответствие требуемому T выхода</x:v>
      </x:c>
      <x:c r="B33" s="11" t="str">
        <x:f>IF(NOT(ISNUMBER(B6)),"нет времени",IF(ISNUMBER(B19),IF(B28&gt;=B19,"выполнено в модели","недостаточно T"),"нет сцепления"))</x:f>
        <x:v>выполнено в модели</x:v>
      </x:c>
      <x:c r="C33" s="11" t="str">
        <x:f>IF(NOT(ISNUMBER(C6)),"нет времени",IF(ISNUMBER(C19),IF(C28&gt;=C19,"выполнено в модели","недостаточно T"),"нет сцепления"))</x:f>
        <x:v>выполнено в модели</x:v>
      </x:c>
      <x:c r="D33" s="11" t="str">
        <x:f>IF(NOT(ISNUMBER(D6)),"нет времени",IF(ISNUMBER(D19),IF(D28&gt;=D19,"выполнено в модели","недостаточно T"),"нет сцепления"))</x:f>
        <x:v>выполнено в модели</x:v>
      </x:c>
    </x:row>
    <x:row r="34" ht="35" customHeight="1">
      <x:c r="A34" s="7" t="str">
        <x:v>Минимум T рабочей при постоянном среднем</x:v>
      </x:c>
      <x:c r="B34" s="11" t="n">
        <x:f>IF(NOT(ISNUMBER(B6)),"нет времени",B28+B14)</x:f>
        <x:v>7052.847085529776</x:v>
      </x:c>
      <x:c r="C34" s="11" t="n">
        <x:f>IF(NOT(ISNUMBER(C6)),"нет времени",C28+C14)</x:f>
        <x:v>7036.016949800847</x:v>
      </x:c>
      <x:c r="D34" s="11" t="n">
        <x:f>IF(NOT(ISNUMBER(D6)),"нет времени",D28+D14)</x:f>
        <x:v>7045.411290191789</x:v>
      </x:c>
    </x:row>
    <x:row r="35" ht="35" customHeight="1">
      <x:c r="A35" s="7" t="str">
        <x:v>Минимум T обратной при постоянном среднем</x:v>
      </x:c>
      <x:c r="B35" s="11" t="n">
        <x:f>IF(NOT(ISNUMBER(B6)),"нет времени",B28+B15)</x:f>
        <x:v>7025.306742764649</x:v>
      </x:c>
      <x:c r="C35" s="11" t="n">
        <x:f>IF(NOT(ISNUMBER(C6)),"нет времени",C28+C15)</x:f>
        <x:v>6995.790806572908</x:v>
      </x:c>
      <x:c r="D35" s="11" t="n">
        <x:f>IF(NOT(ISNUMBER(D6)),"нет времени",D28+D15)</x:f>
        <x:v>7035.890076097982</x:v>
      </x:c>
    </x:row>
    <x:row r="36" ht="31" customHeight="1">
      <x:c r="A36" s="2"/>
      <x:c r="B36" s="2"/>
      <x:c r="C36" s="2"/>
      <x:c r="D36" s="2"/>
    </x:row>
    <x:row r="37" ht="31" customHeight="1">
      <x:c r="A37" s="2"/>
      <x:c r="B37" s="2"/>
      <x:c r="C37" s="2"/>
      <x:c r="D37" s="2"/>
    </x:row>
    <x:row r="38" ht="31" customHeight="1">
      <x:c r="A38" s="2" t="str">
        <x:v>Обороты барабана примера, об/мин</x:v>
      </x:c>
      <x:c r="B38" s="11" t="n">
        <x:f>60*'Исходные'!B12/(PI()*'Исходные'!B21)</x:f>
        <x:v>19.098593171027442</x:v>
      </x:c>
      <x:c r="C38" s="2"/>
      <x:c r="D38" s="2"/>
    </x:row>
    <x:row r="39" ht="31" customHeight="1">
      <x:c r="A39" s="2" t="str">
        <x:v>Поток при q материала, т/ч</x:v>
      </x:c>
      <x:c r="B39" s="11" t="n">
        <x:f>3.6*'Исходные'!B7*'Исходные'!B12</x:f>
        <x:v>21.6</x:v>
      </x:c>
      <x:c r="C39" s="2"/>
      <x:c r="D39" s="2"/>
    </x:row>
    <x:row r="40" ht="31" customHeight="1">
      <x:c r="A40" s="2" t="str">
        <x:v>Fu заклинивания, Н</x:v>
      </x:c>
      <x:c r="B40" s="11" t="str">
        <x:f>IF(ISBLANK('Исходные'!B27),"не задан момент",2*'Исходные'!B27/'Исходные'!B21)</x:f>
        <x:v>не задан момент</x:v>
      </x:c>
      <x:c r="C40" s="2"/>
      <x:c r="D40" s="2"/>
    </x:row>
    <x:row r="41" ht="31" customHeight="1">
      <x:c r="A41" s="2"/>
      <x:c r="B41" s="2"/>
      <x:c r="C41" s="2"/>
      <x:c r="D41" s="2"/>
    </x:row>
    <x:row r="42" ht="58" customHeight="1">
      <x:c r="A42" s="7" t="str">
        <x:v>Минимумы отдельных режимов — не настройка винтового натяжителя. Постоянное среднее T — отдельная упругая модель с неизменной длиной пути. Номинальная мощность и компоненты не выбраны.</x:v>
      </x:c>
      <x:c r="B42" s="7"/>
      <x:c r="C42" s="7"/>
      <x:c r="D42" s="7"/>
    </x:row>
    <x:row r="43" ht="31" customHeight="1">
      <x:c r="A43" s="2"/>
      <x:c r="B43" s="2"/>
      <x:c r="C43" s="2"/>
      <x:c r="D43" s="2"/>
    </x:row>
  </x:sheetData>
  <x:mergeCells>
    <x:mergeCell ref="A42:D4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2" hidden="0" customWidth="1"/>
    <x:col min="4" max="4" width="12" hidden="0" customWidth="1"/>
    <x:col min="5" max="5" width="15" hidden="0" customWidth="1"/>
    <x:col min="6" max="6" width="12" hidden="0" customWidth="1"/>
    <x:col min="7" max="7" width="13" hidden="0" customWidth="1"/>
    <x:col min="8" max="8" width="18" hidden="0" customWidth="1"/>
    <x:col min="9" max="9" width="20" hidden="0" customWidth="1"/>
    <x:col min="10" max="10" width="22" hidden="0" customWidth="1"/>
    <x:col min="11" max="11" width="22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</x:cols>
  <x:sheetData>
    <x:row r="1" ht="3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1" customHeight="1">
      <x:c r="A2" s="3" t="str">
        <x:v>27 примеров: полный q +15кг; уклон/скорость/время в Исходных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31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3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46" customHeight="1">
      <x:c r="A5" s="6" t="str">
        <x:v>Сопр.</x:v>
      </x:c>
      <x:c r="B5" s="6" t="str">
        <x:v>Режим</x:v>
      </x:c>
      <x:c r="C5" s="6" t="str">
        <x:v>μ</x:v>
      </x:c>
      <x:c r="D5" s="6" t="str">
        <x:v>c</x:v>
      </x:c>
      <x:c r="E5" s="6" t="str">
        <x:v>Rдоп, Н</x:v>
      </x:c>
      <x:c r="F5" s="6" t="str">
        <x:v>k</x:v>
      </x:c>
      <x:c r="G5" s="6" t="str">
        <x:v>a, м/с²</x:v>
      </x:c>
      <x:c r="H5" s="6" t="str">
        <x:v>Fu, Н</x:v>
      </x:c>
      <x:c r="I5" s="6" t="str">
        <x:v>Tout min, Н</x:v>
      </x:c>
      <x:c r="J5" s="6" t="str">
        <x:v>Rгол., Н</x:v>
      </x:c>
      <x:c r="K5" s="6" t="str">
        <x:v>Rхв., Н</x:v>
      </x:c>
      <x:c r="L5" s="6" t="str">
        <x:v>rраб., Н/м</x:v>
      </x:c>
      <x:c r="M5" s="6" t="str">
        <x:v>rобр., Н/м</x:v>
      </x:c>
      <x:c r="N5" s="6" t="str">
        <x:v>ΔT15кг, Н</x:v>
      </x:c>
      <x:c r="O5" s="6" t="str">
        <x:v>ΔTхв., Н</x:v>
      </x:c>
      <x:c r="P5" s="6" t="str">
        <x:v>Minраб., Н</x:v>
      </x:c>
      <x:c r="Q5" s="6" t="str">
        <x:v>Minобр., Н</x:v>
      </x:c>
      <x:c r="R5" s="6" t="str">
        <x:v>Tсцепл., Н</x:v>
      </x:c>
      <x:c r="S5" s="6" t="str">
        <x:v>Tпровис., Н</x:v>
      </x:c>
      <x:c r="T5" s="6" t="str">
        <x:v>Tобр.пров., Н</x:v>
      </x:c>
    </x:row>
    <x:row r="6" ht="31" customHeight="1">
      <x:c r="A6" s="2" t="str">
        <x:v>LOW</x:v>
      </x:c>
      <x:c r="B6" s="2" t="str">
        <x:v>RUN</x:v>
      </x:c>
      <x:c r="C6" s="13" t="n">
        <x:v>0.1</x:v>
      </x:c>
      <x:c r="D6" s="13" t="n">
        <x:v>0.01</x:v>
      </x:c>
      <x:c r="E6" s="13" t="n">
        <x:v>0</x:v>
      </x:c>
      <x:c r="F6" s="13" t="n">
        <x:v>1</x:v>
      </x:c>
      <x:c r="G6" s="13" t="n">
        <x:f>0</x:f>
        <x:v>0</x:v>
      </x:c>
      <x:c r="H6" s="11" t="n">
        <x:f>O6+L6*'Исходные'!B6+N6</x:f>
        <x:v>-67.13504641812277</x:v>
      </x:c>
      <x:c r="I6" s="11" t="n">
        <x:f>MAX(S6-P6,T6-Q6,R6-MIN(0,H6),-MIN(0,P6,Q6,H6))</x:f>
        <x:v>6958.235396736976</x:v>
      </x:c>
      <x:c r="J6" s="11" t="n">
        <x:f>2*I6+H6</x:f>
        <x:v>13849.33574705583</x:v>
      </x:c>
      <x:c r="K6" s="11" t="n">
        <x:f>2*(I6+O6)</x:f>
        <x:v>13960.496184461497</x:v>
      </x:c>
      <x:c r="L6" s="11" t="n">
        <x:f>F6*D6*'Исходные'!B26*('Исходные'!B7+'Исходные'!B9)*COS('Исходные'!B32*PI()/180)-'Исходные'!B26*('Исходные'!B7+'Исходные'!B9)*SIN('Исходные'!B32*PI()/180)+('Исходные'!B7+'Исходные'!B9+'Исходные'!B10/(2*'Исходные'!B6))*G6</x:f>
        <x:v>-8.548413607989954</x:v>
      </x:c>
      <x:c r="M6" s="11" t="n">
        <x:f>F6*D6*'Исходные'!B26*'Исходные'!B9*COS('Исходные'!B32*PI()/180)+'Исходные'!B26*'Исходные'!B9*SIN('Исходные'!B32*PI()/180)+('Исходные'!B9+'Исходные'!B10/(2*'Исходные'!B6))*G6</x:f>
        <x:v>2.2012695493772463</x:v>
      </x:c>
      <x:c r="N6" s="11" t="n">
        <x:f>'Исходные'!B8*(F6*D6*'Исходные'!B26*COS('Исходные'!B32*PI()/180)-'Исходные'!B26*SIN('Исходные'!B32*PI()/180)+G6)</x:f>
        <x:v>-3.663605831995694</x:v>
      </x:c>
      <x:c r="O6" s="11" t="n">
        <x:f>F6*E6+M6*'Исходные'!B6</x:f>
        <x:v>22.012695493772462</x:v>
      </x:c>
      <x:c r="P6" s="11" t="n">
        <x:f>O6+MIN(0,L6*'Исходные'!B6)+MIN(0,N6)</x:f>
        <x:v>-67.13504641812277</x:v>
      </x:c>
      <x:c r="Q6" s="11" t="n">
        <x:f>MIN(F6*E6,O6)</x:f>
        <x:v>0</x:v>
      </x:c>
      <x:c r="R6" s="11" t="n">
        <x:f>ABS(H6)/(EXP(C6*'Исходные'!B31*PI()/180)-1)</x:f>
        <x:v>181.8846736942782</x:v>
      </x:c>
      <x:c r="S6" s="11" t="n">
        <x:f>'Исходные'!B26*COS('Исходные'!B32*PI()/180)*(('Исходные'!B7+'Исходные'!B9)*'Исходные'!B17/(8*'Исходные'!B18)+'Исходные'!B8/(4*'Исходные'!B18))</x:f>
        <x:v>6891.100350318854</x:v>
      </x:c>
      <x:c r="T6" s="11" t="n">
        <x:f>'Исходные'!B26*COS('Исходные'!B32*PI()/180)*'Исходные'!B9*'Исходные'!B19/(8*'Исходные'!B20)</x:f>
        <x:v>612.5422533616759</x:v>
      </x:c>
    </x:row>
    <x:row r="7" ht="31" customHeight="1">
      <x:c r="A7" s="2" t="str">
        <x:v>LOW</x:v>
      </x:c>
      <x:c r="B7" s="2" t="str">
        <x:v>START</x:v>
      </x:c>
      <x:c r="C7" s="13" t="n">
        <x:v>0.1</x:v>
      </x:c>
      <x:c r="D7" s="13" t="n">
        <x:v>0.01</x:v>
      </x:c>
      <x:c r="E7" s="13" t="n">
        <x:v>0</x:v>
      </x:c>
      <x:c r="F7" s="13" t="n">
        <x:v>1.5</x:v>
      </x:c>
      <x:c r="G7" s="13" t="n">
        <x:f>'Исходные'!B33/'Исходные'!B34</x:f>
        <x:v>0.3</x:v>
      </x:c>
      <x:c r="H7" s="11" t="n">
        <x:f>O7+L7*'Исходные'!B6+N7</x:f>
        <x:v>95.70135639348487</x:v>
      </x:c>
      <x:c r="I7" s="11" t="n">
        <x:f>MAX(S7-P7,T7-Q7,R7-MIN(0,H7),-MIN(0,P7,Q7,H7))</x:f>
        <x:v>6842.637485811635</x:v>
      </x:c>
      <x:c r="J7" s="11" t="n">
        <x:f>2*I7+H7</x:f>
        <x:v>13780.976328016755</x:v>
      </x:c>
      <x:c r="K7" s="11" t="n">
        <x:f>2*(I7+O7)</x:f>
        <x:v>13782.200700637708</x:v>
      </x:c>
      <x:c r="L7" s="11" t="n">
        <x:f>F7*D7*'Исходные'!B26*('Исходные'!B7+'Исходные'!B9)*COS('Исходные'!B32*PI()/180)-'Исходные'!B26*('Исходные'!B7+'Исходные'!B9)*SIN('Исходные'!B32*PI()/180)+('Исходные'!B7+'Исходные'!B9+'Исходные'!B10/(2*'Исходные'!B6))*G7</x:f>
        <x:v>4.56670470142274</x:v>
      </x:c>
      <x:c r="M7" s="11" t="n">
        <x:f>F7*D7*'Исходные'!B26*'Исходные'!B9*COS('Исходные'!B32*PI()/180)+'Исходные'!B26*'Исходные'!B9*SIN('Исходные'!B32*PI()/180)+('Исходные'!B9+'Исходные'!B10/(2*'Исходные'!B6))*G7</x:f>
        <x:v>4.846286450721916</x:v>
      </x:c>
      <x:c r="N7" s="11" t="n">
        <x:f>'Исходные'!B8*(F7*D7*'Исходные'!B26*COS('Исходные'!B32*PI()/180)-'Исходные'!B26*SIN('Исходные'!B32*PI()/180)+G7)</x:f>
        <x:v>1.5714448720383163</x:v>
      </x:c>
      <x:c r="O7" s="11" t="n">
        <x:f>F7*E7+M7*'Исходные'!B6</x:f>
        <x:v>48.46286450721916</x:v>
      </x:c>
      <x:c r="P7" s="11" t="n">
        <x:f>O7+MIN(0,L7*'Исходные'!B6)+MIN(0,N7)</x:f>
        <x:v>48.46286450721916</x:v>
      </x:c>
      <x:c r="Q7" s="11" t="n">
        <x:f>MIN(F7*E7,O7)</x:f>
        <x:v>0</x:v>
      </x:c>
      <x:c r="R7" s="11" t="n">
        <x:f>ABS(H7)/(EXP(C7*'Исходные'!B31*PI()/180)-1)</x:f>
        <x:v>259.27754441873736</x:v>
      </x:c>
      <x:c r="S7" s="11" t="n">
        <x:f>'Исходные'!B26*COS('Исходные'!B32*PI()/180)*(('Исходные'!B7+'Исходные'!B9)*'Исходные'!B17/(8*'Исходные'!B18)+'Исходные'!B8/(4*'Исходные'!B18))</x:f>
        <x:v>6891.100350318854</x:v>
      </x:c>
      <x:c r="T7" s="11" t="n">
        <x:f>'Исходные'!B26*COS('Исходные'!B32*PI()/180)*'Исходные'!B9*'Исходные'!B19/(8*'Исходные'!B20)</x:f>
        <x:v>612.5422533616759</x:v>
      </x:c>
    </x:row>
    <x:row r="8" ht="31" customHeight="1">
      <x:c r="A8" s="2" t="str">
        <x:v>LOW</x:v>
      </x:c>
      <x:c r="B8" s="2" t="str">
        <x:v>STOP</x:v>
      </x:c>
      <x:c r="C8" s="13" t="n">
        <x:v>0.1</x:v>
      </x:c>
      <x:c r="D8" s="13" t="n">
        <x:v>0.01</x:v>
      </x:c>
      <x:c r="E8" s="13" t="n">
        <x:v>0</x:v>
      </x:c>
      <x:c r="F8" s="13" t="n">
        <x:v>1</x:v>
      </x:c>
      <x:c r="G8" s="13" t="n">
        <x:f>-'Исходные'!B33/'Исходные'!B35</x:f>
        <x:v>-0.3</x:v>
      </x:c>
      <x:c r="H8" s="11" t="n">
        <x:f>O8+L8*'Исходные'!B6+N8</x:f>
        <x:v>-209.63504641812276</x:v>
      </x:c>
      <x:c r="I8" s="11" t="n">
        <x:f>MAX(S8-P8,T8-Q8,R8-MIN(0,H8),-MIN(0,P8,Q8,H8))</x:f>
        <x:v>7100.735396736976</x:v>
      </x:c>
      <x:c r="J8" s="11" t="n">
        <x:f>2*I8+H8</x:f>
        <x:v>13991.83574705583</x:v>
      </x:c>
      <x:c r="K8" s="11" t="n">
        <x:f>2*(I8+O8)</x:f>
        <x:v>14197.496184461497</x:v>
      </x:c>
      <x:c r="L8" s="11" t="n">
        <x:f>F8*D8*'Исходные'!B26*('Исходные'!B7+'Исходные'!B9)*COS('Исходные'!B32*PI()/180)-'Исходные'!B26*('Исходные'!B7+'Исходные'!B9)*SIN('Исходные'!B32*PI()/180)+('Исходные'!B7+'Исходные'!B9+'Исходные'!B10/(2*'Исходные'!B6))*G8</x:f>
        <x:v>-19.948413607989956</x:v>
      </x:c>
      <x:c r="M8" s="11" t="n">
        <x:f>F8*D8*'Исходные'!B26*'Исходные'!B9*COS('Исходные'!B32*PI()/180)+'Исходные'!B26*'Исходные'!B9*SIN('Исходные'!B32*PI()/180)+('Исходные'!B9+'Исходные'!B10/(2*'Исходные'!B6))*G8</x:f>
        <x:v>-0.19873045062275363</x:v>
      </x:c>
      <x:c r="N8" s="11" t="n">
        <x:f>'Исходные'!B8*(F8*D8*'Исходные'!B26*COS('Исходные'!B32*PI()/180)-'Исходные'!B26*SIN('Исходные'!B32*PI()/180)+G8)</x:f>
        <x:v>-8.163605831995694</x:v>
      </x:c>
      <x:c r="O8" s="11" t="n">
        <x:f>F8*E8+M8*'Исходные'!B6</x:f>
        <x:v>-1.9873045062275363</x:v>
      </x:c>
      <x:c r="P8" s="11" t="n">
        <x:f>O8+MIN(0,L8*'Исходные'!B6)+MIN(0,N8)</x:f>
        <x:v>-209.63504641812276</x:v>
      </x:c>
      <x:c r="Q8" s="11" t="n">
        <x:f>MIN(F8*E8,O8)</x:f>
        <x:v>-1.9873045062275363</x:v>
      </x:c>
      <x:c r="R8" s="11" t="n">
        <x:f>ABS(H8)/(EXP(C8*'Исходные'!B31*PI()/180)-1)</x:f>
        <x:v>567.950780508469</x:v>
      </x:c>
      <x:c r="S8" s="11" t="n">
        <x:f>'Исходные'!B26*COS('Исходные'!B32*PI()/180)*(('Исходные'!B7+'Исходные'!B9)*'Исходные'!B17/(8*'Исходные'!B18)+'Исходные'!B8/(4*'Исходные'!B18))</x:f>
        <x:v>6891.100350318854</x:v>
      </x:c>
      <x:c r="T8" s="11" t="n">
        <x:f>'Исходные'!B26*COS('Исходные'!B32*PI()/180)*'Исходные'!B9*'Исходные'!B19/(8*'Исходные'!B20)</x:f>
        <x:v>612.5422533616759</x:v>
      </x:c>
    </x:row>
    <x:row r="9" ht="31" customHeight="1">
      <x:c r="A9" s="2" t="str">
        <x:v>LOW</x:v>
      </x:c>
      <x:c r="B9" s="2" t="str">
        <x:v>RUN</x:v>
      </x:c>
      <x:c r="C9" s="13" t="n">
        <x:v>0.2</x:v>
      </x:c>
      <x:c r="D9" s="13" t="n">
        <x:v>0.01</x:v>
      </x:c>
      <x:c r="E9" s="13" t="n">
        <x:v>0</x:v>
      </x:c>
      <x:c r="F9" s="13" t="n">
        <x:v>1</x:v>
      </x:c>
      <x:c r="G9" s="13" t="n">
        <x:f>0</x:f>
        <x:v>0</x:v>
      </x:c>
      <x:c r="H9" s="11" t="n">
        <x:f>O9+L9*'Исходные'!B6+N9</x:f>
        <x:v>-67.13504641812277</x:v>
      </x:c>
      <x:c r="I9" s="11" t="n">
        <x:f>MAX(S9-P9,T9-Q9,R9-MIN(0,H9),-MIN(0,P9,Q9,H9))</x:f>
        <x:v>6958.235396736976</x:v>
      </x:c>
      <x:c r="J9" s="11" t="n">
        <x:f>2*I9+H9</x:f>
        <x:v>13849.33574705583</x:v>
      </x:c>
      <x:c r="K9" s="11" t="n">
        <x:f>2*(I9+O9)</x:f>
        <x:v>13960.496184461497</x:v>
      </x:c>
      <x:c r="L9" s="11" t="n">
        <x:f>F9*D9*'Исходные'!B26*('Исходные'!B7+'Исходные'!B9)*COS('Исходные'!B32*PI()/180)-'Исходные'!B26*('Исходные'!B7+'Исходные'!B9)*SIN('Исходные'!B32*PI()/180)+('Исходные'!B7+'Исходные'!B9+'Исходные'!B10/(2*'Исходные'!B6))*G9</x:f>
        <x:v>-8.548413607989954</x:v>
      </x:c>
      <x:c r="M9" s="11" t="n">
        <x:f>F9*D9*'Исходные'!B26*'Исходные'!B9*COS('Исходные'!B32*PI()/180)+'Исходные'!B26*'Исходные'!B9*SIN('Исходные'!B32*PI()/180)+('Исходные'!B9+'Исходные'!B10/(2*'Исходные'!B6))*G9</x:f>
        <x:v>2.2012695493772463</x:v>
      </x:c>
      <x:c r="N9" s="11" t="n">
        <x:f>'Исходные'!B8*(F9*D9*'Исходные'!B26*COS('Исходные'!B32*PI()/180)-'Исходные'!B26*SIN('Исходные'!B32*PI()/180)+G9)</x:f>
        <x:v>-3.663605831995694</x:v>
      </x:c>
      <x:c r="O9" s="11" t="n">
        <x:f>F9*E9+M9*'Исходные'!B6</x:f>
        <x:v>22.012695493772462</x:v>
      </x:c>
      <x:c r="P9" s="11" t="n">
        <x:f>O9+MIN(0,L9*'Исходные'!B6)+MIN(0,N9)</x:f>
        <x:v>-67.13504641812277</x:v>
      </x:c>
      <x:c r="Q9" s="11" t="n">
        <x:f>MIN(F9*E9,O9)</x:f>
        <x:v>0</x:v>
      </x:c>
      <x:c r="R9" s="11" t="n">
        <x:f>ABS(H9)/(EXP(C9*'Исходные'!B31*PI()/180)-1)</x:f>
        <x:v>76.77349082617148</x:v>
      </x:c>
      <x:c r="S9" s="11" t="n">
        <x:f>'Исходные'!B26*COS('Исходные'!B32*PI()/180)*(('Исходные'!B7+'Исходные'!B9)*'Исходные'!B17/(8*'Исходные'!B18)+'Исходные'!B8/(4*'Исходные'!B18))</x:f>
        <x:v>6891.100350318854</x:v>
      </x:c>
      <x:c r="T9" s="11" t="n">
        <x:f>'Исходные'!B26*COS('Исходные'!B32*PI()/180)*'Исходные'!B9*'Исходные'!B19/(8*'Исходные'!B20)</x:f>
        <x:v>612.5422533616759</x:v>
      </x:c>
    </x:row>
    <x:row r="10" ht="31" customHeight="1">
      <x:c r="A10" s="2" t="str">
        <x:v>LOW</x:v>
      </x:c>
      <x:c r="B10" s="2" t="str">
        <x:v>START</x:v>
      </x:c>
      <x:c r="C10" s="13" t="n">
        <x:v>0.2</x:v>
      </x:c>
      <x:c r="D10" s="13" t="n">
        <x:v>0.01</x:v>
      </x:c>
      <x:c r="E10" s="13" t="n">
        <x:v>0</x:v>
      </x:c>
      <x:c r="F10" s="13" t="n">
        <x:v>1.5</x:v>
      </x:c>
      <x:c r="G10" s="13" t="n">
        <x:f>'Исходные'!B33/'Исходные'!B34</x:f>
        <x:v>0.3</x:v>
      </x:c>
      <x:c r="H10" s="11" t="n">
        <x:f>O10+L10*'Исходные'!B6+N10</x:f>
        <x:v>95.70135639348487</x:v>
      </x:c>
      <x:c r="I10" s="11" t="n">
        <x:f>MAX(S10-P10,T10-Q10,R10-MIN(0,H10),-MIN(0,P10,Q10,H10))</x:f>
        <x:v>6842.637485811635</x:v>
      </x:c>
      <x:c r="J10" s="11" t="n">
        <x:f>2*I10+H10</x:f>
        <x:v>13780.976328016755</x:v>
      </x:c>
      <x:c r="K10" s="11" t="n">
        <x:f>2*(I10+O10)</x:f>
        <x:v>13782.200700637708</x:v>
      </x:c>
      <x:c r="L10" s="11" t="n">
        <x:f>F10*D10*'Исходные'!B26*('Исходные'!B7+'Исходные'!B9)*COS('Исходные'!B32*PI()/180)-'Исходные'!B26*('Исходные'!B7+'Исходные'!B9)*SIN('Исходные'!B32*PI()/180)+('Исходные'!B7+'Исходные'!B9+'Исходные'!B10/(2*'Исходные'!B6))*G10</x:f>
        <x:v>4.56670470142274</x:v>
      </x:c>
      <x:c r="M10" s="11" t="n">
        <x:f>F10*D10*'Исходные'!B26*'Исходные'!B9*COS('Исходные'!B32*PI()/180)+'Исходные'!B26*'Исходные'!B9*SIN('Исходные'!B32*PI()/180)+('Исходные'!B9+'Исходные'!B10/(2*'Исходные'!B6))*G10</x:f>
        <x:v>4.846286450721916</x:v>
      </x:c>
      <x:c r="N10" s="11" t="n">
        <x:f>'Исходные'!B8*(F10*D10*'Исходные'!B26*COS('Исходные'!B32*PI()/180)-'Исходные'!B26*SIN('Исходные'!B32*PI()/180)+G10)</x:f>
        <x:v>1.5714448720383163</x:v>
      </x:c>
      <x:c r="O10" s="11" t="n">
        <x:f>F10*E10+M10*'Исходные'!B6</x:f>
        <x:v>48.46286450721916</x:v>
      </x:c>
      <x:c r="P10" s="11" t="n">
        <x:f>O10+MIN(0,L10*'Исходные'!B6)+MIN(0,N10)</x:f>
        <x:v>48.46286450721916</x:v>
      </x:c>
      <x:c r="Q10" s="11" t="n">
        <x:f>MIN(F10*E10,O10)</x:f>
        <x:v>0</x:v>
      </x:c>
      <x:c r="R10" s="11" t="n">
        <x:f>ABS(H10)/(EXP(C10*'Исходные'!B31*PI()/180)-1)</x:f>
        <x:v>109.4410088192626</x:v>
      </x:c>
      <x:c r="S10" s="11" t="n">
        <x:f>'Исходные'!B26*COS('Исходные'!B32*PI()/180)*(('Исходные'!B7+'Исходные'!B9)*'Исходные'!B17/(8*'Исходные'!B18)+'Исходные'!B8/(4*'Исходные'!B18))</x:f>
        <x:v>6891.100350318854</x:v>
      </x:c>
      <x:c r="T10" s="11" t="n">
        <x:f>'Исходные'!B26*COS('Исходные'!B32*PI()/180)*'Исходные'!B9*'Исходные'!B19/(8*'Исходные'!B20)</x:f>
        <x:v>612.5422533616759</x:v>
      </x:c>
    </x:row>
    <x:row r="11" ht="31" customHeight="1">
      <x:c r="A11" s="2" t="str">
        <x:v>LOW</x:v>
      </x:c>
      <x:c r="B11" s="2" t="str">
        <x:v>STOP</x:v>
      </x:c>
      <x:c r="C11" s="13" t="n">
        <x:v>0.2</x:v>
      </x:c>
      <x:c r="D11" s="13" t="n">
        <x:v>0.01</x:v>
      </x:c>
      <x:c r="E11" s="13" t="n">
        <x:v>0</x:v>
      </x:c>
      <x:c r="F11" s="13" t="n">
        <x:v>1</x:v>
      </x:c>
      <x:c r="G11" s="13" t="n">
        <x:f>-'Исходные'!B33/'Исходные'!B35</x:f>
        <x:v>-0.3</x:v>
      </x:c>
      <x:c r="H11" s="11" t="n">
        <x:f>O11+L11*'Исходные'!B6+N11</x:f>
        <x:v>-209.63504641812276</x:v>
      </x:c>
      <x:c r="I11" s="11" t="n">
        <x:f>MAX(S11-P11,T11-Q11,R11-MIN(0,H11),-MIN(0,P11,Q11,H11))</x:f>
        <x:v>7100.735396736976</x:v>
      </x:c>
      <x:c r="J11" s="11" t="n">
        <x:f>2*I11+H11</x:f>
        <x:v>13991.83574705583</x:v>
      </x:c>
      <x:c r="K11" s="11" t="n">
        <x:f>2*(I11+O11)</x:f>
        <x:v>14197.496184461497</x:v>
      </x:c>
      <x:c r="L11" s="11" t="n">
        <x:f>F11*D11*'Исходные'!B26*('Исходные'!B7+'Исходные'!B9)*COS('Исходные'!B32*PI()/180)-'Исходные'!B26*('Исходные'!B7+'Исходные'!B9)*SIN('Исходные'!B32*PI()/180)+('Исходные'!B7+'Исходные'!B9+'Исходные'!B10/(2*'Исходные'!B6))*G11</x:f>
        <x:v>-19.948413607989956</x:v>
      </x:c>
      <x:c r="M11" s="11" t="n">
        <x:f>F11*D11*'Исходные'!B26*'Исходные'!B9*COS('Исходные'!B32*PI()/180)+'Исходные'!B26*'Исходные'!B9*SIN('Исходные'!B32*PI()/180)+('Исходные'!B9+'Исходные'!B10/(2*'Исходные'!B6))*G11</x:f>
        <x:v>-0.19873045062275363</x:v>
      </x:c>
      <x:c r="N11" s="11" t="n">
        <x:f>'Исходные'!B8*(F11*D11*'Исходные'!B26*COS('Исходные'!B32*PI()/180)-'Исходные'!B26*SIN('Исходные'!B32*PI()/180)+G11)</x:f>
        <x:v>-8.163605831995694</x:v>
      </x:c>
      <x:c r="O11" s="11" t="n">
        <x:f>F11*E11+M11*'Исходные'!B6</x:f>
        <x:v>-1.9873045062275363</x:v>
      </x:c>
      <x:c r="P11" s="11" t="n">
        <x:f>O11+MIN(0,L11*'Исходные'!B6)+MIN(0,N11)</x:f>
        <x:v>-209.63504641812276</x:v>
      </x:c>
      <x:c r="Q11" s="11" t="n">
        <x:f>MIN(F11*E11,O11)</x:f>
        <x:v>-1.9873045062275363</x:v>
      </x:c>
      <x:c r="R11" s="11" t="n">
        <x:f>ABS(H11)/(EXP(C11*'Исходные'!B31*PI()/180)-1)</x:f>
        <x:v>239.7319309617871</x:v>
      </x:c>
      <x:c r="S11" s="11" t="n">
        <x:f>'Исходные'!B26*COS('Исходные'!B32*PI()/180)*(('Исходные'!B7+'Исходные'!B9)*'Исходные'!B17/(8*'Исходные'!B18)+'Исходные'!B8/(4*'Исходные'!B18))</x:f>
        <x:v>6891.100350318854</x:v>
      </x:c>
      <x:c r="T11" s="11" t="n">
        <x:f>'Исходные'!B26*COS('Исходные'!B32*PI()/180)*'Исходные'!B9*'Исходные'!B19/(8*'Исходные'!B20)</x:f>
        <x:v>612.5422533616759</x:v>
      </x:c>
    </x:row>
    <x:row r="12" ht="31" customHeight="1">
      <x:c r="A12" s="2" t="str">
        <x:v>LOW</x:v>
      </x:c>
      <x:c r="B12" s="2" t="str">
        <x:v>RUN</x:v>
      </x:c>
      <x:c r="C12" s="13" t="n">
        <x:v>0.3</x:v>
      </x:c>
      <x:c r="D12" s="13" t="n">
        <x:v>0.01</x:v>
      </x:c>
      <x:c r="E12" s="13" t="n">
        <x:v>0</x:v>
      </x:c>
      <x:c r="F12" s="13" t="n">
        <x:v>1</x:v>
      </x:c>
      <x:c r="G12" s="13" t="n">
        <x:f>0</x:f>
        <x:v>0</x:v>
      </x:c>
      <x:c r="H12" s="11" t="n">
        <x:f>O12+L12*'Исходные'!B6+N12</x:f>
        <x:v>-67.13504641812277</x:v>
      </x:c>
      <x:c r="I12" s="11" t="n">
        <x:f>MAX(S12-P12,T12-Q12,R12-MIN(0,H12),-MIN(0,P12,Q12,H12))</x:f>
        <x:v>6958.235396736976</x:v>
      </x:c>
      <x:c r="J12" s="11" t="n">
        <x:f>2*I12+H12</x:f>
        <x:v>13849.33574705583</x:v>
      </x:c>
      <x:c r="K12" s="11" t="n">
        <x:f>2*(I12+O12)</x:f>
        <x:v>13960.496184461497</x:v>
      </x:c>
      <x:c r="L12" s="11" t="n">
        <x:f>F12*D12*'Исходные'!B26*('Исходные'!B7+'Исходные'!B9)*COS('Исходные'!B32*PI()/180)-'Исходные'!B26*('Исходные'!B7+'Исходные'!B9)*SIN('Исходные'!B32*PI()/180)+('Исходные'!B7+'Исходные'!B9+'Исходные'!B10/(2*'Исходные'!B6))*G12</x:f>
        <x:v>-8.548413607989954</x:v>
      </x:c>
      <x:c r="M12" s="11" t="n">
        <x:f>F12*D12*'Исходные'!B26*'Исходные'!B9*COS('Исходные'!B32*PI()/180)+'Исходные'!B26*'Исходные'!B9*SIN('Исходные'!B32*PI()/180)+('Исходные'!B9+'Исходные'!B10/(2*'Исходные'!B6))*G12</x:f>
        <x:v>2.2012695493772463</x:v>
      </x:c>
      <x:c r="N12" s="11" t="n">
        <x:f>'Исходные'!B8*(F12*D12*'Исходные'!B26*COS('Исходные'!B32*PI()/180)-'Исходные'!B26*SIN('Исходные'!B32*PI()/180)+G12)</x:f>
        <x:v>-3.663605831995694</x:v>
      </x:c>
      <x:c r="O12" s="11" t="n">
        <x:f>F12*E12+M12*'Исходные'!B6</x:f>
        <x:v>22.012695493772462</x:v>
      </x:c>
      <x:c r="P12" s="11" t="n">
        <x:f>O12+MIN(0,L12*'Исходные'!B6)+MIN(0,N12)</x:f>
        <x:v>-67.13504641812277</x:v>
      </x:c>
      <x:c r="Q12" s="11" t="n">
        <x:f>MIN(F12*E12,O12)</x:f>
        <x:v>0</x:v>
      </x:c>
      <x:c r="R12" s="11" t="n">
        <x:f>ABS(H12)/(EXP(C12*'Исходные'!B31*PI()/180)-1)</x:f>
        <x:v>42.86130237969178</x:v>
      </x:c>
      <x:c r="S12" s="11" t="n">
        <x:f>'Исходные'!B26*COS('Исходные'!B32*PI()/180)*(('Исходные'!B7+'Исходные'!B9)*'Исходные'!B17/(8*'Исходные'!B18)+'Исходные'!B8/(4*'Исходные'!B18))</x:f>
        <x:v>6891.100350318854</x:v>
      </x:c>
      <x:c r="T12" s="11" t="n">
        <x:f>'Исходные'!B26*COS('Исходные'!B32*PI()/180)*'Исходные'!B9*'Исходные'!B19/(8*'Исходные'!B20)</x:f>
        <x:v>612.5422533616759</x:v>
      </x:c>
    </x:row>
    <x:row r="13" ht="31" customHeight="1">
      <x:c r="A13" s="2" t="str">
        <x:v>LOW</x:v>
      </x:c>
      <x:c r="B13" s="2" t="str">
        <x:v>START</x:v>
      </x:c>
      <x:c r="C13" s="13" t="n">
        <x:v>0.3</x:v>
      </x:c>
      <x:c r="D13" s="13" t="n">
        <x:v>0.01</x:v>
      </x:c>
      <x:c r="E13" s="13" t="n">
        <x:v>0</x:v>
      </x:c>
      <x:c r="F13" s="13" t="n">
        <x:v>1.5</x:v>
      </x:c>
      <x:c r="G13" s="13" t="n">
        <x:f>'Исходные'!B33/'Исходные'!B34</x:f>
        <x:v>0.3</x:v>
      </x:c>
      <x:c r="H13" s="11" t="n">
        <x:f>O13+L13*'Исходные'!B6+N13</x:f>
        <x:v>95.70135639348487</x:v>
      </x:c>
      <x:c r="I13" s="11" t="n">
        <x:f>MAX(S13-P13,T13-Q13,R13-MIN(0,H13),-MIN(0,P13,Q13,H13))</x:f>
        <x:v>6842.637485811635</x:v>
      </x:c>
      <x:c r="J13" s="11" t="n">
        <x:f>2*I13+H13</x:f>
        <x:v>13780.976328016755</x:v>
      </x:c>
      <x:c r="K13" s="11" t="n">
        <x:f>2*(I13+O13)</x:f>
        <x:v>13782.200700637708</x:v>
      </x:c>
      <x:c r="L13" s="11" t="n">
        <x:f>F13*D13*'Исходные'!B26*('Исходные'!B7+'Исходные'!B9)*COS('Исходные'!B32*PI()/180)-'Исходные'!B26*('Исходные'!B7+'Исходные'!B9)*SIN('Исходные'!B32*PI()/180)+('Исходные'!B7+'Исходные'!B9+'Исходные'!B10/(2*'Исходные'!B6))*G13</x:f>
        <x:v>4.56670470142274</x:v>
      </x:c>
      <x:c r="M13" s="11" t="n">
        <x:f>F13*D13*'Исходные'!B26*'Исходные'!B9*COS('Исходные'!B32*PI()/180)+'Исходные'!B26*'Исходные'!B9*SIN('Исходные'!B32*PI()/180)+('Исходные'!B9+'Исходные'!B10/(2*'Исходные'!B6))*G13</x:f>
        <x:v>4.846286450721916</x:v>
      </x:c>
      <x:c r="N13" s="11" t="n">
        <x:f>'Исходные'!B8*(F13*D13*'Исходные'!B26*COS('Исходные'!B32*PI()/180)-'Исходные'!B26*SIN('Исходные'!B32*PI()/180)+G13)</x:f>
        <x:v>1.5714448720383163</x:v>
      </x:c>
      <x:c r="O13" s="11" t="n">
        <x:f>F13*E13+M13*'Исходные'!B6</x:f>
        <x:v>48.46286450721916</x:v>
      </x:c>
      <x:c r="P13" s="11" t="n">
        <x:f>O13+MIN(0,L13*'Исходные'!B6)+MIN(0,N13)</x:f>
        <x:v>48.46286450721916</x:v>
      </x:c>
      <x:c r="Q13" s="11" t="n">
        <x:f>MIN(F13*E13,O13)</x:f>
        <x:v>0</x:v>
      </x:c>
      <x:c r="R13" s="11" t="n">
        <x:f>ABS(H13)/(EXP(C13*'Исходные'!B31*PI()/180)-1)</x:f>
        <x:v>61.099008541394575</x:v>
      </x:c>
      <x:c r="S13" s="11" t="n">
        <x:f>'Исходные'!B26*COS('Исходные'!B32*PI()/180)*(('Исходные'!B7+'Исходные'!B9)*'Исходные'!B17/(8*'Исходные'!B18)+'Исходные'!B8/(4*'Исходные'!B18))</x:f>
        <x:v>6891.100350318854</x:v>
      </x:c>
      <x:c r="T13" s="11" t="n">
        <x:f>'Исходные'!B26*COS('Исходные'!B32*PI()/180)*'Исходные'!B9*'Исходные'!B19/(8*'Исходные'!B20)</x:f>
        <x:v>612.5422533616759</x:v>
      </x:c>
    </x:row>
    <x:row r="14" ht="31" customHeight="1">
      <x:c r="A14" s="2" t="str">
        <x:v>LOW</x:v>
      </x:c>
      <x:c r="B14" s="2" t="str">
        <x:v>STOP</x:v>
      </x:c>
      <x:c r="C14" s="13" t="n">
        <x:v>0.3</x:v>
      </x:c>
      <x:c r="D14" s="13" t="n">
        <x:v>0.01</x:v>
      </x:c>
      <x:c r="E14" s="13" t="n">
        <x:v>0</x:v>
      </x:c>
      <x:c r="F14" s="13" t="n">
        <x:v>1</x:v>
      </x:c>
      <x:c r="G14" s="13" t="n">
        <x:f>-'Исходные'!B33/'Исходные'!B35</x:f>
        <x:v>-0.3</x:v>
      </x:c>
      <x:c r="H14" s="11" t="n">
        <x:f>O14+L14*'Исходные'!B6+N14</x:f>
        <x:v>-209.63504641812276</x:v>
      </x:c>
      <x:c r="I14" s="11" t="n">
        <x:f>MAX(S14-P14,T14-Q14,R14-MIN(0,H14),-MIN(0,P14,Q14,H14))</x:f>
        <x:v>7100.735396736976</x:v>
      </x:c>
      <x:c r="J14" s="11" t="n">
        <x:f>2*I14+H14</x:f>
        <x:v>13991.83574705583</x:v>
      </x:c>
      <x:c r="K14" s="11" t="n">
        <x:f>2*(I14+O14)</x:f>
        <x:v>14197.496184461497</x:v>
      </x:c>
      <x:c r="L14" s="11" t="n">
        <x:f>F14*D14*'Исходные'!B26*('Исходные'!B7+'Исходные'!B9)*COS('Исходные'!B32*PI()/180)-'Исходные'!B26*('Исходные'!B7+'Исходные'!B9)*SIN('Исходные'!B32*PI()/180)+('Исходные'!B7+'Исходные'!B9+'Исходные'!B10/(2*'Исходные'!B6))*G14</x:f>
        <x:v>-19.948413607989956</x:v>
      </x:c>
      <x:c r="M14" s="11" t="n">
        <x:f>F14*D14*'Исходные'!B26*'Исходные'!B9*COS('Исходные'!B32*PI()/180)+'Исходные'!B26*'Исходные'!B9*SIN('Исходные'!B32*PI()/180)+('Исходные'!B9+'Исходные'!B10/(2*'Исходные'!B6))*G14</x:f>
        <x:v>-0.19873045062275363</x:v>
      </x:c>
      <x:c r="N14" s="11" t="n">
        <x:f>'Исходные'!B8*(F14*D14*'Исходные'!B26*COS('Исходные'!B32*PI()/180)-'Исходные'!B26*SIN('Исходные'!B32*PI()/180)+G14)</x:f>
        <x:v>-8.163605831995694</x:v>
      </x:c>
      <x:c r="O14" s="11" t="n">
        <x:f>F14*E14+M14*'Исходные'!B6</x:f>
        <x:v>-1.9873045062275363</x:v>
      </x:c>
      <x:c r="P14" s="11" t="n">
        <x:f>O14+MIN(0,L14*'Исходные'!B6)+MIN(0,N14)</x:f>
        <x:v>-209.63504641812276</x:v>
      </x:c>
      <x:c r="Q14" s="11" t="n">
        <x:f>MIN(F14*E14,O14)</x:f>
        <x:v>-1.9873045062275363</x:v>
      </x:c>
      <x:c r="R14" s="11" t="n">
        <x:f>ABS(H14)/(EXP(C14*'Исходные'!B31*PI()/180)-1)</x:f>
        <x:v>133.83816044375837</x:v>
      </x:c>
      <x:c r="S14" s="11" t="n">
        <x:f>'Исходные'!B26*COS('Исходные'!B32*PI()/180)*(('Исходные'!B7+'Исходные'!B9)*'Исходные'!B17/(8*'Исходные'!B18)+'Исходные'!B8/(4*'Исходные'!B18))</x:f>
        <x:v>6891.100350318854</x:v>
      </x:c>
      <x:c r="T14" s="11" t="n">
        <x:f>'Исходные'!B26*COS('Исходные'!B32*PI()/180)*'Исходные'!B9*'Исходные'!B19/(8*'Исходные'!B20)</x:f>
        <x:v>612.5422533616759</x:v>
      </x:c>
    </x:row>
    <x:row r="15" ht="31" customHeight="1">
      <x:c r="A15" s="2" t="str">
        <x:v>MID</x:v>
      </x:c>
      <x:c r="B15" s="2" t="str">
        <x:v>RUN</x:v>
      </x:c>
      <x:c r="C15" s="13" t="n">
        <x:v>0.1</x:v>
      </x:c>
      <x:c r="D15" s="13" t="n">
        <x:v>0.03</x:v>
      </x:c>
      <x:c r="E15" s="13" t="n">
        <x:v>100</x:v>
      </x:c>
      <x:c r="F15" s="13" t="n">
        <x:v>1</x:v>
      </x:c>
      <x:c r="G15" s="13" t="n">
        <x:f>0</x:f>
        <x:v>0</x:v>
      </x:c>
      <x:c r="H15" s="11" t="n">
        <x:f>O15+L15*'Исходные'!B6+N15</x:f>
        <x:v>114.21056482830781</x:v>
      </x:c>
      <x:c r="I15" s="11" t="n">
        <x:f>MAX(S15-P15,T15-Q15,R15-MIN(0,H15),-MIN(0,P15,Q15,H15))</x:f>
        <x:v>6776.889785490546</x:v>
      </x:c>
      <x:c r="J15" s="11" t="n">
        <x:f>2*I15+H15</x:f>
        <x:v>13667.990135809401</x:v>
      </x:c>
      <x:c r="K15" s="11" t="n">
        <x:f>2*(I15+O15)</x:f>
        <x:v>13817.406314076212</x:v>
      </x:c>
      <x:c r="L15" s="11" t="n">
        <x:f>F15*D15*'Исходные'!B26*('Исходные'!B7+'Исходные'!B9)*COS('Исходные'!B32*PI()/180)-'Исходные'!B26*('Исходные'!B7+'Исходные'!B9)*SIN('Исходные'!B32*PI()/180)+('Исходные'!B7+'Исходные'!B9+'Исходные'!B10/(2*'Исходные'!B6))*G15</x:f>
        <x:v>-1.6879403703391826</x:v>
      </x:c>
      <x:c r="M15" s="11" t="n">
        <x:f>F15*D15*'Исходные'!B26*'Исходные'!B9*COS('Исходные'!B32*PI()/180)+'Исходные'!B26*'Исходные'!B9*SIN('Исходные'!B32*PI()/180)+('Исходные'!B9+'Исходные'!B10/(2*'Исходные'!B6))*G15</x:f>
        <x:v>3.1813371547559277</x:v>
      </x:c>
      <x:c r="N15" s="11" t="n">
        <x:f>'Исходные'!B8*(F15*D15*'Исходные'!B26*COS('Исходные'!B32*PI()/180)-'Исходные'!B26*SIN('Исходные'!B32*PI()/180)+G15)</x:f>
        <x:v>-0.7234030158596507</x:v>
      </x:c>
      <x:c r="O15" s="11" t="n">
        <x:f>F15*E15+M15*'Исходные'!B6</x:f>
        <x:v>131.81337154755929</x:v>
      </x:c>
      <x:c r="P15" s="11" t="n">
        <x:f>O15+MIN(0,L15*'Исходные'!B6)+MIN(0,N15)</x:f>
        <x:v>114.21056482830781</x:v>
      </x:c>
      <x:c r="Q15" s="11" t="n">
        <x:f>MIN(F15*E15,O15)</x:f>
        <x:v>100</x:v>
      </x:c>
      <x:c r="R15" s="11" t="n">
        <x:f>ABS(H15)/(EXP(C15*'Исходные'!B31*PI()/180)-1)</x:f>
        <x:v>309.42335523027754</x:v>
      </x:c>
      <x:c r="S15" s="11" t="n">
        <x:f>'Исходные'!B26*COS('Исходные'!B32*PI()/180)*(('Исходные'!B7+'Исходные'!B9)*'Исходные'!B17/(8*'Исходные'!B18)+'Исходные'!B8/(4*'Исходные'!B18))</x:f>
        <x:v>6891.100350318854</x:v>
      </x:c>
      <x:c r="T15" s="11" t="n">
        <x:f>'Исходные'!B26*COS('Исходные'!B32*PI()/180)*'Исходные'!B9*'Исходные'!B19/(8*'Исходные'!B20)</x:f>
        <x:v>612.5422533616759</x:v>
      </x:c>
    </x:row>
    <x:row r="16" ht="31" customHeight="1">
      <x:c r="A16" s="2" t="str">
        <x:v>MID</x:v>
      </x:c>
      <x:c r="B16" s="2" t="str">
        <x:v>START</x:v>
      </x:c>
      <x:c r="C16" s="13" t="n">
        <x:v>0.1</x:v>
      </x:c>
      <x:c r="D16" s="13" t="n">
        <x:v>0.03</x:v>
      </x:c>
      <x:c r="E16" s="13" t="n">
        <x:v>100</x:v>
      </x:c>
      <x:c r="F16" s="13" t="n">
        <x:v>1.5</x:v>
      </x:c>
      <x:c r="G16" s="13" t="n">
        <x:f>'Исходные'!B33/'Исходные'!B34</x:f>
        <x:v>0.3</x:v>
      </x:c>
      <x:c r="H16" s="11" t="n">
        <x:f>O16+L16*'Исходные'!B6+N16</x:f>
        <x:v>367.71977326313066</x:v>
      </x:c>
      <x:c r="I16" s="11" t="n">
        <x:f>MAX(S16-P16,T16-Q16,R16-MIN(0,H16),-MIN(0,P16,Q16,H16))</x:f>
        <x:v>6677.9364717309545</x:v>
      </x:c>
      <x:c r="J16" s="11" t="n">
        <x:f>2*I16+H16</x:f>
        <x:v>13723.59271672504</x:v>
      </x:c>
      <x:c r="K16" s="11" t="n">
        <x:f>2*(I16+O16)</x:f>
        <x:v>13782.200700637708</x:v>
      </x:c>
      <x:c r="L16" s="11" t="n">
        <x:f>F16*D16*'Исходные'!B26*('Исходные'!B7+'Исходные'!B9)*COS('Исходные'!B32*PI()/180)-'Исходные'!B26*('Исходные'!B7+'Исходные'!B9)*SIN('Исходные'!B32*PI()/180)+('Исходные'!B7+'Исходные'!B9+'Исходные'!B10/(2*'Исходные'!B6))*G16</x:f>
        <x:v>14.857414557898895</x:v>
      </x:c>
      <x:c r="M16" s="11" t="n">
        <x:f>F16*D16*'Исходные'!B26*'Исходные'!B9*COS('Исходные'!B32*PI()/180)+'Исходные'!B26*'Исходные'!B9*SIN('Исходные'!B32*PI()/180)+('Исходные'!B9+'Исходные'!B10/(2*'Исходные'!B6))*G16</x:f>
        <x:v>6.316387858789939</x:v>
      </x:c>
      <x:c r="N16" s="11" t="n">
        <x:f>'Исходные'!B8*(F16*D16*'Исходные'!B26*COS('Исходные'!B32*PI()/180)-'Исходные'!B26*SIN('Исходные'!B32*PI()/180)+G16)</x:f>
        <x:v>5.981749096242384</x:v>
      </x:c>
      <x:c r="O16" s="11" t="n">
        <x:f>F16*E16+M16*'Исходные'!B6</x:f>
        <x:v>213.16387858789938</x:v>
      </x:c>
      <x:c r="P16" s="11" t="n">
        <x:f>O16+MIN(0,L16*'Исходные'!B6)+MIN(0,N16)</x:f>
        <x:v>213.16387858789938</x:v>
      </x:c>
      <x:c r="Q16" s="11" t="n">
        <x:f>MIN(F16*E16,O16)</x:f>
        <x:v>150</x:v>
      </x:c>
      <x:c r="R16" s="11" t="n">
        <x:f>ABS(H16)/(EXP(C16*'Исходные'!B31*PI()/180)-1)</x:f>
        <x:v>996.2395878055709</x:v>
      </x:c>
      <x:c r="S16" s="11" t="n">
        <x:f>'Исходные'!B26*COS('Исходные'!B32*PI()/180)*(('Исходные'!B7+'Исходные'!B9)*'Исходные'!B17/(8*'Исходные'!B18)+'Исходные'!B8/(4*'Исходные'!B18))</x:f>
        <x:v>6891.100350318854</x:v>
      </x:c>
      <x:c r="T16" s="11" t="n">
        <x:f>'Исходные'!B26*COS('Исходные'!B32*PI()/180)*'Исходные'!B9*'Исходные'!B19/(8*'Исходные'!B20)</x:f>
        <x:v>612.5422533616759</x:v>
      </x:c>
    </x:row>
    <x:row r="17" ht="31" customHeight="1">
      <x:c r="A17" s="2" t="str">
        <x:v>MID</x:v>
      </x:c>
      <x:c r="B17" s="2" t="str">
        <x:v>STOP</x:v>
      </x:c>
      <x:c r="C17" s="13" t="n">
        <x:v>0.1</x:v>
      </x:c>
      <x:c r="D17" s="13" t="n">
        <x:v>0.03</x:v>
      </x:c>
      <x:c r="E17" s="13" t="n">
        <x:v>100</x:v>
      </x:c>
      <x:c r="F17" s="13" t="n">
        <x:v>1</x:v>
      </x:c>
      <x:c r="G17" s="13" t="n">
        <x:f>-'Исходные'!B33/'Исходные'!B35</x:f>
        <x:v>-0.3</x:v>
      </x:c>
      <x:c r="H17" s="11" t="n">
        <x:f>O17+L17*'Исходные'!B6+N17</x:f>
        <x:v>-28.289435171692197</x:v>
      </x:c>
      <x:c r="I17" s="11" t="n">
        <x:f>MAX(S17-P17,T17-Q17,R17-MIN(0,H17),-MIN(0,P17,Q17,H17))</x:f>
        <x:v>6919.389785490546</x:v>
      </x:c>
      <x:c r="J17" s="11" t="n">
        <x:f>2*I17+H17</x:f>
        <x:v>13810.490135809401</x:v>
      </x:c>
      <x:c r="K17" s="11" t="n">
        <x:f>2*(I17+O17)</x:f>
        <x:v>14054.406314076212</x:v>
      </x:c>
      <x:c r="L17" s="11" t="n">
        <x:f>F17*D17*'Исходные'!B26*('Исходные'!B7+'Исходные'!B9)*COS('Исходные'!B32*PI()/180)-'Исходные'!B26*('Исходные'!B7+'Исходные'!B9)*SIN('Исходные'!B32*PI()/180)+('Исходные'!B7+'Исходные'!B9+'Исходные'!B10/(2*'Исходные'!B6))*G17</x:f>
        <x:v>-13.087940370339183</x:v>
      </x:c>
      <x:c r="M17" s="11" t="n">
        <x:f>F17*D17*'Исходные'!B26*'Исходные'!B9*COS('Исходные'!B32*PI()/180)+'Исходные'!B26*'Исходные'!B9*SIN('Исходные'!B32*PI()/180)+('Исходные'!B9+'Исходные'!B10/(2*'Исходные'!B6))*G17</x:f>
        <x:v>0.7813371547559278</x:v>
      </x:c>
      <x:c r="N17" s="11" t="n">
        <x:f>'Исходные'!B8*(F17*D17*'Исходные'!B26*COS('Исходные'!B32*PI()/180)-'Исходные'!B26*SIN('Исходные'!B32*PI()/180)+G17)</x:f>
        <x:v>-5.223403015859651</x:v>
      </x:c>
      <x:c r="O17" s="11" t="n">
        <x:f>F17*E17+M17*'Исходные'!B6</x:f>
        <x:v>107.81337154755929</x:v>
      </x:c>
      <x:c r="P17" s="11" t="n">
        <x:f>O17+MIN(0,L17*'Исходные'!B6)+MIN(0,N17)</x:f>
        <x:v>-28.289435171692197</x:v>
      </x:c>
      <x:c r="Q17" s="11" t="n">
        <x:f>MIN(F17*E17,O17)</x:f>
        <x:v>100</x:v>
      </x:c>
      <x:c r="R17" s="11" t="n">
        <x:f>ABS(H17)/(EXP(C17*'Исходные'!B31*PI()/180)-1)</x:f>
        <x:v>76.64275158391331</x:v>
      </x:c>
      <x:c r="S17" s="11" t="n">
        <x:f>'Исходные'!B26*COS('Исходные'!B32*PI()/180)*(('Исходные'!B7+'Исходные'!B9)*'Исходные'!B17/(8*'Исходные'!B18)+'Исходные'!B8/(4*'Исходные'!B18))</x:f>
        <x:v>6891.100350318854</x:v>
      </x:c>
      <x:c r="T17" s="11" t="n">
        <x:f>'Исходные'!B26*COS('Исходные'!B32*PI()/180)*'Исходные'!B9*'Исходные'!B19/(8*'Исходные'!B20)</x:f>
        <x:v>612.5422533616759</x:v>
      </x:c>
    </x:row>
    <x:row r="18" ht="31" customHeight="1">
      <x:c r="A18" s="2" t="str">
        <x:v>MID</x:v>
      </x:c>
      <x:c r="B18" s="2" t="str">
        <x:v>RUN</x:v>
      </x:c>
      <x:c r="C18" s="13" t="n">
        <x:v>0.2</x:v>
      </x:c>
      <x:c r="D18" s="13" t="n">
        <x:v>0.03</x:v>
      </x:c>
      <x:c r="E18" s="13" t="n">
        <x:v>100</x:v>
      </x:c>
      <x:c r="F18" s="13" t="n">
        <x:v>1</x:v>
      </x:c>
      <x:c r="G18" s="13" t="n">
        <x:f>0</x:f>
        <x:v>0</x:v>
      </x:c>
      <x:c r="H18" s="11" t="n">
        <x:f>O18+L18*'Исходные'!B6+N18</x:f>
        <x:v>114.21056482830781</x:v>
      </x:c>
      <x:c r="I18" s="11" t="n">
        <x:f>MAX(S18-P18,T18-Q18,R18-MIN(0,H18),-MIN(0,P18,Q18,H18))</x:f>
        <x:v>6776.889785490546</x:v>
      </x:c>
      <x:c r="J18" s="11" t="n">
        <x:f>2*I18+H18</x:f>
        <x:v>13667.990135809401</x:v>
      </x:c>
      <x:c r="K18" s="11" t="n">
        <x:f>2*(I18+O18)</x:f>
        <x:v>13817.406314076212</x:v>
      </x:c>
      <x:c r="L18" s="11" t="n">
        <x:f>F18*D18*'Исходные'!B26*('Исходные'!B7+'Исходные'!B9)*COS('Исходные'!B32*PI()/180)-'Исходные'!B26*('Исходные'!B7+'Исходные'!B9)*SIN('Исходные'!B32*PI()/180)+('Исходные'!B7+'Исходные'!B9+'Исходные'!B10/(2*'Исходные'!B6))*G18</x:f>
        <x:v>-1.6879403703391826</x:v>
      </x:c>
      <x:c r="M18" s="11" t="n">
        <x:f>F18*D18*'Исходные'!B26*'Исходные'!B9*COS('Исходные'!B32*PI()/180)+'Исходные'!B26*'Исходные'!B9*SIN('Исходные'!B32*PI()/180)+('Исходные'!B9+'Исходные'!B10/(2*'Исходные'!B6))*G18</x:f>
        <x:v>3.1813371547559277</x:v>
      </x:c>
      <x:c r="N18" s="11" t="n">
        <x:f>'Исходные'!B8*(F18*D18*'Исходные'!B26*COS('Исходные'!B32*PI()/180)-'Исходные'!B26*SIN('Исходные'!B32*PI()/180)+G18)</x:f>
        <x:v>-0.7234030158596507</x:v>
      </x:c>
      <x:c r="O18" s="11" t="n">
        <x:f>F18*E18+M18*'Исходные'!B6</x:f>
        <x:v>131.81337154755929</x:v>
      </x:c>
      <x:c r="P18" s="11" t="n">
        <x:f>O18+MIN(0,L18*'Исходные'!B6)+MIN(0,N18)</x:f>
        <x:v>114.21056482830781</x:v>
      </x:c>
      <x:c r="Q18" s="11" t="n">
        <x:f>MIN(F18*E18,O18)</x:f>
        <x:v>100</x:v>
      </x:c>
      <x:c r="R18" s="11" t="n">
        <x:f>ABS(H18)/(EXP(C18*'Исходные'!B31*PI()/180)-1)</x:f>
        <x:v>130.6075473082712</x:v>
      </x:c>
      <x:c r="S18" s="11" t="n">
        <x:f>'Исходные'!B26*COS('Исходные'!B32*PI()/180)*(('Исходные'!B7+'Исходные'!B9)*'Исходные'!B17/(8*'Исходные'!B18)+'Исходные'!B8/(4*'Исходные'!B18))</x:f>
        <x:v>6891.100350318854</x:v>
      </x:c>
      <x:c r="T18" s="11" t="n">
        <x:f>'Исходные'!B26*COS('Исходные'!B32*PI()/180)*'Исходные'!B9*'Исходные'!B19/(8*'Исходные'!B20)</x:f>
        <x:v>612.5422533616759</x:v>
      </x:c>
    </x:row>
    <x:row r="19" ht="31" customHeight="1">
      <x:c r="A19" s="2" t="str">
        <x:v>MID</x:v>
      </x:c>
      <x:c r="B19" s="2" t="str">
        <x:v>START</x:v>
      </x:c>
      <x:c r="C19" s="13" t="n">
        <x:v>0.2</x:v>
      </x:c>
      <x:c r="D19" s="13" t="n">
        <x:v>0.03</x:v>
      </x:c>
      <x:c r="E19" s="13" t="n">
        <x:v>100</x:v>
      </x:c>
      <x:c r="F19" s="13" t="n">
        <x:v>1.5</x:v>
      </x:c>
      <x:c r="G19" s="13" t="n">
        <x:f>'Исходные'!B33/'Исходные'!B34</x:f>
        <x:v>0.3</x:v>
      </x:c>
      <x:c r="H19" s="11" t="n">
        <x:f>O19+L19*'Исходные'!B6+N19</x:f>
        <x:v>367.71977326313066</x:v>
      </x:c>
      <x:c r="I19" s="11" t="n">
        <x:f>MAX(S19-P19,T19-Q19,R19-MIN(0,H19),-MIN(0,P19,Q19,H19))</x:f>
        <x:v>6677.9364717309545</x:v>
      </x:c>
      <x:c r="J19" s="11" t="n">
        <x:f>2*I19+H19</x:f>
        <x:v>13723.59271672504</x:v>
      </x:c>
      <x:c r="K19" s="11" t="n">
        <x:f>2*(I19+O19)</x:f>
        <x:v>13782.200700637708</x:v>
      </x:c>
      <x:c r="L19" s="11" t="n">
        <x:f>F19*D19*'Исходные'!B26*('Исходные'!B7+'Исходные'!B9)*COS('Исходные'!B32*PI()/180)-'Исходные'!B26*('Исходные'!B7+'Исходные'!B9)*SIN('Исходные'!B32*PI()/180)+('Исходные'!B7+'Исходные'!B9+'Исходные'!B10/(2*'Исходные'!B6))*G19</x:f>
        <x:v>14.857414557898895</x:v>
      </x:c>
      <x:c r="M19" s="11" t="n">
        <x:f>F19*D19*'Исходные'!B26*'Исходные'!B9*COS('Исходные'!B32*PI()/180)+'Исходные'!B26*'Исходные'!B9*SIN('Исходные'!B32*PI()/180)+('Исходные'!B9+'Исходные'!B10/(2*'Исходные'!B6))*G19</x:f>
        <x:v>6.316387858789939</x:v>
      </x:c>
      <x:c r="N19" s="11" t="n">
        <x:f>'Исходные'!B8*(F19*D19*'Исходные'!B26*COS('Исходные'!B32*PI()/180)-'Исходные'!B26*SIN('Исходные'!B32*PI()/180)+G19)</x:f>
        <x:v>5.981749096242384</x:v>
      </x:c>
      <x:c r="O19" s="11" t="n">
        <x:f>F19*E19+M19*'Исходные'!B6</x:f>
        <x:v>213.16387858789938</x:v>
      </x:c>
      <x:c r="P19" s="11" t="n">
        <x:f>O19+MIN(0,L19*'Исходные'!B6)+MIN(0,N19)</x:f>
        <x:v>213.16387858789938</x:v>
      </x:c>
      <x:c r="Q19" s="11" t="n">
        <x:f>MIN(F19*E19,O19)</x:f>
        <x:v>150</x:v>
      </x:c>
      <x:c r="R19" s="11" t="n">
        <x:f>ABS(H19)/(EXP(C19*'Исходные'!B31*PI()/180)-1)</x:f>
        <x:v>420.51256602092656</x:v>
      </x:c>
      <x:c r="S19" s="11" t="n">
        <x:f>'Исходные'!B26*COS('Исходные'!B32*PI()/180)*(('Исходные'!B7+'Исходные'!B9)*'Исходные'!B17/(8*'Исходные'!B18)+'Исходные'!B8/(4*'Исходные'!B18))</x:f>
        <x:v>6891.100350318854</x:v>
      </x:c>
      <x:c r="T19" s="11" t="n">
        <x:f>'Исходные'!B26*COS('Исходные'!B32*PI()/180)*'Исходные'!B9*'Исходные'!B19/(8*'Исходные'!B20)</x:f>
        <x:v>612.5422533616759</x:v>
      </x:c>
    </x:row>
    <x:row r="20" ht="31" customHeight="1">
      <x:c r="A20" s="2" t="str">
        <x:v>MID</x:v>
      </x:c>
      <x:c r="B20" s="2" t="str">
        <x:v>STOP</x:v>
      </x:c>
      <x:c r="C20" s="13" t="n">
        <x:v>0.2</x:v>
      </x:c>
      <x:c r="D20" s="13" t="n">
        <x:v>0.03</x:v>
      </x:c>
      <x:c r="E20" s="13" t="n">
        <x:v>100</x:v>
      </x:c>
      <x:c r="F20" s="13" t="n">
        <x:v>1</x:v>
      </x:c>
      <x:c r="G20" s="13" t="n">
        <x:f>-'Исходные'!B33/'Исходные'!B35</x:f>
        <x:v>-0.3</x:v>
      </x:c>
      <x:c r="H20" s="11" t="n">
        <x:f>O20+L20*'Исходные'!B6+N20</x:f>
        <x:v>-28.289435171692197</x:v>
      </x:c>
      <x:c r="I20" s="11" t="n">
        <x:f>MAX(S20-P20,T20-Q20,R20-MIN(0,H20),-MIN(0,P20,Q20,H20))</x:f>
        <x:v>6919.389785490546</x:v>
      </x:c>
      <x:c r="J20" s="11" t="n">
        <x:f>2*I20+H20</x:f>
        <x:v>13810.490135809401</x:v>
      </x:c>
      <x:c r="K20" s="11" t="n">
        <x:f>2*(I20+O20)</x:f>
        <x:v>14054.406314076212</x:v>
      </x:c>
      <x:c r="L20" s="11" t="n">
        <x:f>F20*D20*'Исходные'!B26*('Исходные'!B7+'Исходные'!B9)*COS('Исходные'!B32*PI()/180)-'Исходные'!B26*('Исходные'!B7+'Исходные'!B9)*SIN('Исходные'!B32*PI()/180)+('Исходные'!B7+'Исходные'!B9+'Исходные'!B10/(2*'Исходные'!B6))*G20</x:f>
        <x:v>-13.087940370339183</x:v>
      </x:c>
      <x:c r="M20" s="11" t="n">
        <x:f>F20*D20*'Исходные'!B26*'Исходные'!B9*COS('Исходные'!B32*PI()/180)+'Исходные'!B26*'Исходные'!B9*SIN('Исходные'!B32*PI()/180)+('Исходные'!B9+'Исходные'!B10/(2*'Исходные'!B6))*G20</x:f>
        <x:v>0.7813371547559278</x:v>
      </x:c>
      <x:c r="N20" s="11" t="n">
        <x:f>'Исходные'!B8*(F20*D20*'Исходные'!B26*COS('Исходные'!B32*PI()/180)-'Исходные'!B26*SIN('Исходные'!B32*PI()/180)+G20)</x:f>
        <x:v>-5.223403015859651</x:v>
      </x:c>
      <x:c r="O20" s="11" t="n">
        <x:f>F20*E20+M20*'Исходные'!B6</x:f>
        <x:v>107.81337154755929</x:v>
      </x:c>
      <x:c r="P20" s="11" t="n">
        <x:f>O20+MIN(0,L20*'Исходные'!B6)+MIN(0,N20)</x:f>
        <x:v>-28.289435171692197</x:v>
      </x:c>
      <x:c r="Q20" s="11" t="n">
        <x:f>MIN(F20*E20,O20)</x:f>
        <x:v>100</x:v>
      </x:c>
      <x:c r="R20" s="11" t="n">
        <x:f>ABS(H20)/(EXP(C20*'Исходные'!B31*PI()/180)-1)</x:f>
        <x:v>32.35089282734444</x:v>
      </x:c>
      <x:c r="S20" s="11" t="n">
        <x:f>'Исходные'!B26*COS('Исходные'!B32*PI()/180)*(('Исходные'!B7+'Исходные'!B9)*'Исходные'!B17/(8*'Исходные'!B18)+'Исходные'!B8/(4*'Исходные'!B18))</x:f>
        <x:v>6891.100350318854</x:v>
      </x:c>
      <x:c r="T20" s="11" t="n">
        <x:f>'Исходные'!B26*COS('Исходные'!B32*PI()/180)*'Исходные'!B9*'Исходные'!B19/(8*'Исходные'!B20)</x:f>
        <x:v>612.5422533616759</x:v>
      </x:c>
    </x:row>
    <x:row r="21" ht="31" customHeight="1">
      <x:c r="A21" s="2" t="str">
        <x:v>MID</x:v>
      </x:c>
      <x:c r="B21" s="2" t="str">
        <x:v>RUN</x:v>
      </x:c>
      <x:c r="C21" s="13" t="n">
        <x:v>0.3</x:v>
      </x:c>
      <x:c r="D21" s="13" t="n">
        <x:v>0.03</x:v>
      </x:c>
      <x:c r="E21" s="13" t="n">
        <x:v>100</x:v>
      </x:c>
      <x:c r="F21" s="13" t="n">
        <x:v>1</x:v>
      </x:c>
      <x:c r="G21" s="13" t="n">
        <x:f>0</x:f>
        <x:v>0</x:v>
      </x:c>
      <x:c r="H21" s="11" t="n">
        <x:f>O21+L21*'Исходные'!B6+N21</x:f>
        <x:v>114.21056482830781</x:v>
      </x:c>
      <x:c r="I21" s="11" t="n">
        <x:f>MAX(S21-P21,T21-Q21,R21-MIN(0,H21),-MIN(0,P21,Q21,H21))</x:f>
        <x:v>6776.889785490546</x:v>
      </x:c>
      <x:c r="J21" s="11" t="n">
        <x:f>2*I21+H21</x:f>
        <x:v>13667.990135809401</x:v>
      </x:c>
      <x:c r="K21" s="11" t="n">
        <x:f>2*(I21+O21)</x:f>
        <x:v>13817.406314076212</x:v>
      </x:c>
      <x:c r="L21" s="11" t="n">
        <x:f>F21*D21*'Исходные'!B26*('Исходные'!B7+'Исходные'!B9)*COS('Исходные'!B32*PI()/180)-'Исходные'!B26*('Исходные'!B7+'Исходные'!B9)*SIN('Исходные'!B32*PI()/180)+('Исходные'!B7+'Исходные'!B9+'Исходные'!B10/(2*'Исходные'!B6))*G21</x:f>
        <x:v>-1.6879403703391826</x:v>
      </x:c>
      <x:c r="M21" s="11" t="n">
        <x:f>F21*D21*'Исходные'!B26*'Исходные'!B9*COS('Исходные'!B32*PI()/180)+'Исходные'!B26*'Исходные'!B9*SIN('Исходные'!B32*PI()/180)+('Исходные'!B9+'Исходные'!B10/(2*'Исходные'!B6))*G21</x:f>
        <x:v>3.1813371547559277</x:v>
      </x:c>
      <x:c r="N21" s="11" t="n">
        <x:f>'Исходные'!B8*(F21*D21*'Исходные'!B26*COS('Исходные'!B32*PI()/180)-'Исходные'!B26*SIN('Исходные'!B32*PI()/180)+G21)</x:f>
        <x:v>-0.7234030158596507</x:v>
      </x:c>
      <x:c r="O21" s="11" t="n">
        <x:f>F21*E21+M21*'Исходные'!B6</x:f>
        <x:v>131.81337154755929</x:v>
      </x:c>
      <x:c r="P21" s="11" t="n">
        <x:f>O21+MIN(0,L21*'Исходные'!B6)+MIN(0,N21)</x:f>
        <x:v>114.21056482830781</x:v>
      </x:c>
      <x:c r="Q21" s="11" t="n">
        <x:f>MIN(F21*E21,O21)</x:f>
        <x:v>100</x:v>
      </x:c>
      <x:c r="R21" s="11" t="n">
        <x:f>ABS(H21)/(EXP(C21*'Исходные'!B31*PI()/180)-1)</x:f>
        <x:v>72.91591821615324</x:v>
      </x:c>
      <x:c r="S21" s="11" t="n">
        <x:f>'Исходные'!B26*COS('Исходные'!B32*PI()/180)*(('Исходные'!B7+'Исходные'!B9)*'Исходные'!B17/(8*'Исходные'!B18)+'Исходные'!B8/(4*'Исходные'!B18))</x:f>
        <x:v>6891.100350318854</x:v>
      </x:c>
      <x:c r="T21" s="11" t="n">
        <x:f>'Исходные'!B26*COS('Исходные'!B32*PI()/180)*'Исходные'!B9*'Исходные'!B19/(8*'Исходные'!B20)</x:f>
        <x:v>612.5422533616759</x:v>
      </x:c>
    </x:row>
    <x:row r="22" ht="31" customHeight="1">
      <x:c r="A22" s="2" t="str">
        <x:v>MID</x:v>
      </x:c>
      <x:c r="B22" s="2" t="str">
        <x:v>START</x:v>
      </x:c>
      <x:c r="C22" s="13" t="n">
        <x:v>0.3</x:v>
      </x:c>
      <x:c r="D22" s="13" t="n">
        <x:v>0.03</x:v>
      </x:c>
      <x:c r="E22" s="13" t="n">
        <x:v>100</x:v>
      </x:c>
      <x:c r="F22" s="13" t="n">
        <x:v>1.5</x:v>
      </x:c>
      <x:c r="G22" s="13" t="n">
        <x:f>'Исходные'!B33/'Исходные'!B34</x:f>
        <x:v>0.3</x:v>
      </x:c>
      <x:c r="H22" s="11" t="n">
        <x:f>O22+L22*'Исходные'!B6+N22</x:f>
        <x:v>367.71977326313066</x:v>
      </x:c>
      <x:c r="I22" s="11" t="n">
        <x:f>MAX(S22-P22,T22-Q22,R22-MIN(0,H22),-MIN(0,P22,Q22,H22))</x:f>
        <x:v>6677.9364717309545</x:v>
      </x:c>
      <x:c r="J22" s="11" t="n">
        <x:f>2*I22+H22</x:f>
        <x:v>13723.59271672504</x:v>
      </x:c>
      <x:c r="K22" s="11" t="n">
        <x:f>2*(I22+O22)</x:f>
        <x:v>13782.200700637708</x:v>
      </x:c>
      <x:c r="L22" s="11" t="n">
        <x:f>F22*D22*'Исходные'!B26*('Исходные'!B7+'Исходные'!B9)*COS('Исходные'!B32*PI()/180)-'Исходные'!B26*('Исходные'!B7+'Исходные'!B9)*SIN('Исходные'!B32*PI()/180)+('Исходные'!B7+'Исходные'!B9+'Исходные'!B10/(2*'Исходные'!B6))*G22</x:f>
        <x:v>14.857414557898895</x:v>
      </x:c>
      <x:c r="M22" s="11" t="n">
        <x:f>F22*D22*'Исходные'!B26*'Исходные'!B9*COS('Исходные'!B32*PI()/180)+'Исходные'!B26*'Исходные'!B9*SIN('Исходные'!B32*PI()/180)+('Исходные'!B9+'Исходные'!B10/(2*'Исходные'!B6))*G22</x:f>
        <x:v>6.316387858789939</x:v>
      </x:c>
      <x:c r="N22" s="11" t="n">
        <x:f>'Исходные'!B8*(F22*D22*'Исходные'!B26*COS('Исходные'!B32*PI()/180)-'Исходные'!B26*SIN('Исходные'!B32*PI()/180)+G22)</x:f>
        <x:v>5.981749096242384</x:v>
      </x:c>
      <x:c r="O22" s="11" t="n">
        <x:f>F22*E22+M22*'Исходные'!B6</x:f>
        <x:v>213.16387858789938</x:v>
      </x:c>
      <x:c r="P22" s="11" t="n">
        <x:f>O22+MIN(0,L22*'Исходные'!B6)+MIN(0,N22)</x:f>
        <x:v>213.16387858789938</x:v>
      </x:c>
      <x:c r="Q22" s="11" t="n">
        <x:f>MIN(F22*E22,O22)</x:f>
        <x:v>150</x:v>
      </x:c>
      <x:c r="R22" s="11" t="n">
        <x:f>ABS(H22)/(EXP(C22*'Исходные'!B31*PI()/180)-1)</x:f>
        <x:v>234.76483943516206</x:v>
      </x:c>
      <x:c r="S22" s="11" t="n">
        <x:f>'Исходные'!B26*COS('Исходные'!B32*PI()/180)*(('Исходные'!B7+'Исходные'!B9)*'Исходные'!B17/(8*'Исходные'!B18)+'Исходные'!B8/(4*'Исходные'!B18))</x:f>
        <x:v>6891.100350318854</x:v>
      </x:c>
      <x:c r="T22" s="11" t="n">
        <x:f>'Исходные'!B26*COS('Исходные'!B32*PI()/180)*'Исходные'!B9*'Исходные'!B19/(8*'Исходные'!B20)</x:f>
        <x:v>612.5422533616759</x:v>
      </x:c>
    </x:row>
    <x:row r="23" ht="31" customHeight="1">
      <x:c r="A23" s="2" t="str">
        <x:v>MID</x:v>
      </x:c>
      <x:c r="B23" s="2" t="str">
        <x:v>STOP</x:v>
      </x:c>
      <x:c r="C23" s="13" t="n">
        <x:v>0.3</x:v>
      </x:c>
      <x:c r="D23" s="13" t="n">
        <x:v>0.03</x:v>
      </x:c>
      <x:c r="E23" s="13" t="n">
        <x:v>100</x:v>
      </x:c>
      <x:c r="F23" s="13" t="n">
        <x:v>1</x:v>
      </x:c>
      <x:c r="G23" s="13" t="n">
        <x:f>-'Исходные'!B33/'Исходные'!B35</x:f>
        <x:v>-0.3</x:v>
      </x:c>
      <x:c r="H23" s="11" t="n">
        <x:f>O23+L23*'Исходные'!B6+N23</x:f>
        <x:v>-28.289435171692197</x:v>
      </x:c>
      <x:c r="I23" s="11" t="n">
        <x:f>MAX(S23-P23,T23-Q23,R23-MIN(0,H23),-MIN(0,P23,Q23,H23))</x:f>
        <x:v>6919.389785490546</x:v>
      </x:c>
      <x:c r="J23" s="11" t="n">
        <x:f>2*I23+H23</x:f>
        <x:v>13810.490135809401</x:v>
      </x:c>
      <x:c r="K23" s="11" t="n">
        <x:f>2*(I23+O23)</x:f>
        <x:v>14054.406314076212</x:v>
      </x:c>
      <x:c r="L23" s="11" t="n">
        <x:f>F23*D23*'Исходные'!B26*('Исходные'!B7+'Исходные'!B9)*COS('Исходные'!B32*PI()/180)-'Исходные'!B26*('Исходные'!B7+'Исходные'!B9)*SIN('Исходные'!B32*PI()/180)+('Исходные'!B7+'Исходные'!B9+'Исходные'!B10/(2*'Исходные'!B6))*G23</x:f>
        <x:v>-13.087940370339183</x:v>
      </x:c>
      <x:c r="M23" s="11" t="n">
        <x:f>F23*D23*'Исходные'!B26*'Исходные'!B9*COS('Исходные'!B32*PI()/180)+'Исходные'!B26*'Исходные'!B9*SIN('Исходные'!B32*PI()/180)+('Исходные'!B9+'Исходные'!B10/(2*'Исходные'!B6))*G23</x:f>
        <x:v>0.7813371547559278</x:v>
      </x:c>
      <x:c r="N23" s="11" t="n">
        <x:f>'Исходные'!B8*(F23*D23*'Исходные'!B26*COS('Исходные'!B32*PI()/180)-'Исходные'!B26*SIN('Исходные'!B32*PI()/180)+G23)</x:f>
        <x:v>-5.223403015859651</x:v>
      </x:c>
      <x:c r="O23" s="11" t="n">
        <x:f>F23*E23+M23*'Исходные'!B6</x:f>
        <x:v>107.81337154755929</x:v>
      </x:c>
      <x:c r="P23" s="11" t="n">
        <x:f>O23+MIN(0,L23*'Исходные'!B6)+MIN(0,N23)</x:f>
        <x:v>-28.289435171692197</x:v>
      </x:c>
      <x:c r="Q23" s="11" t="n">
        <x:f>MIN(F23*E23,O23)</x:f>
        <x:v>100</x:v>
      </x:c>
      <x:c r="R23" s="11" t="n">
        <x:f>ABS(H23)/(EXP(C23*'Исходные'!B31*PI()/180)-1)</x:f>
        <x:v>18.060939847913367</x:v>
      </x:c>
      <x:c r="S23" s="11" t="n">
        <x:f>'Исходные'!B26*COS('Исходные'!B32*PI()/180)*(('Исходные'!B7+'Исходные'!B9)*'Исходные'!B17/(8*'Исходные'!B18)+'Исходные'!B8/(4*'Исходные'!B18))</x:f>
        <x:v>6891.100350318854</x:v>
      </x:c>
      <x:c r="T23" s="11" t="n">
        <x:f>'Исходные'!B26*COS('Исходные'!B32*PI()/180)*'Исходные'!B9*'Исходные'!B19/(8*'Исходные'!B20)</x:f>
        <x:v>612.5422533616759</x:v>
      </x:c>
    </x:row>
    <x:row r="24" ht="31" customHeight="1">
      <x:c r="A24" s="2" t="str">
        <x:v>HIGH</x:v>
      </x:c>
      <x:c r="B24" s="2" t="str">
        <x:v>RUN</x:v>
      </x:c>
      <x:c r="C24" s="13" t="n">
        <x:v>0.1</x:v>
      </x:c>
      <x:c r="D24" s="13" t="n">
        <x:v>0.06</x:v>
      </x:c>
      <x:c r="E24" s="13" t="n">
        <x:v>200</x:v>
      </x:c>
      <x:c r="F24" s="13" t="n">
        <x:v>1</x:v>
      </x:c>
      <x:c r="G24" s="13" t="n">
        <x:f>0</x:f>
        <x:v>0</x:v>
      </x:c>
      <x:c r="H24" s="11" t="n">
        <x:f>O24+L24*'Исходные'!B6+N24</x:f>
        <x:v>336.22898169795366</x:v>
      </x:c>
      <x:c r="I24" s="11" t="n">
        <x:f>MAX(S24-P24,T24-Q24,R24-MIN(0,H24),-MIN(0,P24,Q24,H24))</x:f>
        <x:v>6644.585964690615</x:v>
      </x:c>
      <x:c r="J24" s="11" t="n">
        <x:f>2*I24+H24</x:f>
        <x:v>13625.400911079183</x:v>
      </x:c>
      <x:c r="K24" s="11" t="n">
        <x:f>2*(I24+O24)</x:f>
        <x:v>13782.200700637708</x:v>
      </x:c>
      <x:c r="L24" s="11" t="n">
        <x:f>F24*D24*'Исходные'!B26*('Исходные'!B7+'Исходные'!B9)*COS('Исходные'!B32*PI()/180)-'Исходные'!B26*('Исходные'!B7+'Исходные'!B9)*SIN('Исходные'!B32*PI()/180)+('Исходные'!B7+'Исходные'!B9+'Исходные'!B10/(2*'Исходные'!B6))*G24</x:f>
        <x:v>8.602769486136973</x:v>
      </x:c>
      <x:c r="M24" s="11" t="n">
        <x:f>F24*D24*'Исходные'!B26*'Исходные'!B9*COS('Исходные'!B32*PI()/180)+'Исходные'!B26*'Исходные'!B9*SIN('Исходные'!B32*PI()/180)+('Исходные'!B9+'Исходные'!B10/(2*'Исходные'!B6))*G24</x:f>
        <x:v>4.65143856282395</x:v>
      </x:c>
      <x:c r="N24" s="11" t="n">
        <x:f>'Исходные'!B8*(F24*D24*'Исходные'!B26*COS('Исходные'!B32*PI()/180)-'Исходные'!B26*SIN('Исходные'!B32*PI()/180)+G24)</x:f>
        <x:v>3.686901208344415</x:v>
      </x:c>
      <x:c r="O24" s="11" t="n">
        <x:f>F24*E24+M24*'Исходные'!B6</x:f>
        <x:v>246.5143856282395</x:v>
      </x:c>
      <x:c r="P24" s="11" t="n">
        <x:f>O24+MIN(0,L24*'Исходные'!B6)+MIN(0,N24)</x:f>
        <x:v>246.5143856282395</x:v>
      </x:c>
      <x:c r="Q24" s="11" t="n">
        <x:f>MIN(F24*E24,O24)</x:f>
        <x:v>200</x:v>
      </x:c>
      <x:c r="R24" s="11" t="n">
        <x:f>ABS(H24)/(EXP(C24*'Исходные'!B31*PI()/180)-1)</x:f>
        <x:v>910.9236067524828</x:v>
      </x:c>
      <x:c r="S24" s="11" t="n">
        <x:f>'Исходные'!B26*COS('Исходные'!B32*PI()/180)*(('Исходные'!B7+'Исходные'!B9)*'Исходные'!B17/(8*'Исходные'!B18)+'Исходные'!B8/(4*'Исходные'!B18))</x:f>
        <x:v>6891.100350318854</x:v>
      </x:c>
      <x:c r="T24" s="11" t="n">
        <x:f>'Исходные'!B26*COS('Исходные'!B32*PI()/180)*'Исходные'!B9*'Исходные'!B19/(8*'Исходные'!B20)</x:f>
        <x:v>612.5422533616759</x:v>
      </x:c>
    </x:row>
    <x:row r="25" ht="31" customHeight="1">
      <x:c r="A25" s="2" t="str">
        <x:v>HIGH</x:v>
      </x:c>
      <x:c r="B25" s="2" t="str">
        <x:v>START</x:v>
      </x:c>
      <x:c r="C25" s="13" t="n">
        <x:v>0.1</x:v>
      </x:c>
      <x:c r="D25" s="13" t="n">
        <x:v>0.06</x:v>
      </x:c>
      <x:c r="E25" s="13" t="n">
        <x:v>200</x:v>
      </x:c>
      <x:c r="F25" s="13" t="n">
        <x:v>1.5</x:v>
      </x:c>
      <x:c r="G25" s="13" t="n">
        <x:f>'Исходные'!B33/'Исходные'!B34</x:f>
        <x:v>0.3</x:v>
      </x:c>
      <x:c r="H25" s="11" t="n">
        <x:f>O25+L25*'Исходные'!B6+N25</x:f>
        <x:v>700.7473985675995</x:v>
      </x:c>
      <x:c r="I25" s="11" t="n">
        <x:f>MAX(S25-P25,T25-Q25,R25-MIN(0,H25),-MIN(0,P25,Q25,H25))</x:f>
        <x:v>6505.884950609934</x:v>
      </x:c>
      <x:c r="J25" s="11" t="n">
        <x:f>2*I25+H25</x:f>
        <x:v>13712.517299787467</x:v>
      </x:c>
      <x:c r="K25" s="11" t="n">
        <x:f>2*(I25+O25)</x:f>
        <x:v>13782.200700637708</x:v>
      </x:c>
      <x:c r="L25" s="11" t="n">
        <x:f>F25*D25*'Исходные'!B26*('Исходные'!B7+'Исходные'!B9)*COS('Исходные'!B32*PI()/180)-'Исходные'!B26*('Исходные'!B7+'Исходные'!B9)*SIN('Исходные'!B32*PI()/180)+('Исходные'!B7+'Исходные'!B9+'Исходные'!B10/(2*'Исходные'!B6))*G25</x:f>
        <x:v>30.293479342613125</x:v>
      </x:c>
      <x:c r="M25" s="11" t="n">
        <x:f>F25*D25*'Исходные'!B26*'Исходные'!B9*COS('Исходные'!B32*PI()/180)+'Исходные'!B26*'Исходные'!B9*SIN('Исходные'!B32*PI()/180)+('Исходные'!B9+'Исходные'!B10/(2*'Исходные'!B6))*G25</x:f>
        <x:v>8.521539970891972</x:v>
      </x:c>
      <x:c r="N25" s="11" t="n">
        <x:f>'Исходные'!B8*(F25*D25*'Исходные'!B26*COS('Исходные'!B32*PI()/180)-'Исходные'!B26*SIN('Исходные'!B32*PI()/180)+G25)</x:f>
        <x:v>12.597205432548485</x:v>
      </x:c>
      <x:c r="O25" s="11" t="n">
        <x:f>F25*E25+M25*'Исходные'!B6</x:f>
        <x:v>385.21539970891973</x:v>
      </x:c>
      <x:c r="P25" s="11" t="n">
        <x:f>O25+MIN(0,L25*'Исходные'!B6)+MIN(0,N25)</x:f>
        <x:v>385.21539970891973</x:v>
      </x:c>
      <x:c r="Q25" s="11" t="n">
        <x:f>MIN(F25*E25,O25)</x:f>
        <x:v>300</x:v>
      </x:c>
      <x:c r="R25" s="11" t="n">
        <x:f>ABS(H25)/(EXP(C25*'Исходные'!B31*PI()/180)-1)</x:f>
        <x:v>1898.4899650888788</x:v>
      </x:c>
      <x:c r="S25" s="11" t="n">
        <x:f>'Исходные'!B26*COS('Исходные'!B32*PI()/180)*(('Исходные'!B7+'Исходные'!B9)*'Исходные'!B17/(8*'Исходные'!B18)+'Исходные'!B8/(4*'Исходные'!B18))</x:f>
        <x:v>6891.100350318854</x:v>
      </x:c>
      <x:c r="T25" s="11" t="n">
        <x:f>'Исходные'!B26*COS('Исходные'!B32*PI()/180)*'Исходные'!B9*'Исходные'!B19/(8*'Исходные'!B20)</x:f>
        <x:v>612.5422533616759</x:v>
      </x:c>
    </x:row>
    <x:row r="26" ht="31" customHeight="1">
      <x:c r="A26" s="2" t="str">
        <x:v>HIGH</x:v>
      </x:c>
      <x:c r="B26" s="2" t="str">
        <x:v>STOP</x:v>
      </x:c>
      <x:c r="C26" s="13" t="n">
        <x:v>0.1</x:v>
      </x:c>
      <x:c r="D26" s="13" t="n">
        <x:v>0.06</x:v>
      </x:c>
      <x:c r="E26" s="13" t="n">
        <x:v>200</x:v>
      </x:c>
      <x:c r="F26" s="13" t="n">
        <x:v>1</x:v>
      </x:c>
      <x:c r="G26" s="13" t="n">
        <x:f>-'Исходные'!B33/'Исходные'!B35</x:f>
        <x:v>-0.3</x:v>
      </x:c>
      <x:c r="H26" s="11" t="n">
        <x:f>O26+L26*'Исходные'!B6+N26</x:f>
        <x:v>193.72898169795363</x:v>
      </x:c>
      <x:c r="I26" s="11" t="n">
        <x:f>MAX(S26-P26,T26-Q26,R26-MIN(0,H26),-MIN(0,P26,Q26,H26))</x:f>
        <x:v>6697.3713686209</x:v>
      </x:c>
      <x:c r="J26" s="11" t="n">
        <x:f>2*I26+H26</x:f>
        <x:v>13588.471718939754</x:v>
      </x:c>
      <x:c r="K26" s="11" t="n">
        <x:f>2*(I26+O26)</x:f>
        <x:v>13839.77150849828</x:v>
      </x:c>
      <x:c r="L26" s="11" t="n">
        <x:f>F26*D26*'Исходные'!B26*('Исходные'!B7+'Исходные'!B9)*COS('Исходные'!B32*PI()/180)-'Исходные'!B26*('Исходные'!B7+'Исходные'!B9)*SIN('Исходные'!B32*PI()/180)+('Исходные'!B7+'Исходные'!B9+'Исходные'!B10/(2*'Исходные'!B6))*G26</x:f>
        <x:v>-2.7972305138630276</x:v>
      </x:c>
      <x:c r="M26" s="11" t="n">
        <x:f>F26*D26*'Исходные'!B26*'Исходные'!B9*COS('Исходные'!B32*PI()/180)+'Исходные'!B26*'Исходные'!B9*SIN('Исходные'!B32*PI()/180)+('Исходные'!B9+'Исходные'!B10/(2*'Исходные'!B6))*G26</x:f>
        <x:v>2.25143856282395</x:v>
      </x:c>
      <x:c r="N26" s="11" t="n">
        <x:f>'Исходные'!B8*(F26*D26*'Исходные'!B26*COS('Исходные'!B32*PI()/180)-'Исходные'!B26*SIN('Исходные'!B32*PI()/180)+G26)</x:f>
        <x:v>-0.8130987916555849</x:v>
      </x:c>
      <x:c r="O26" s="11" t="n">
        <x:f>F26*E26+M26*'Исходные'!B6</x:f>
        <x:v>222.5143856282395</x:v>
      </x:c>
      <x:c r="P26" s="11" t="n">
        <x:f>O26+MIN(0,L26*'Исходные'!B6)+MIN(0,N26)</x:f>
        <x:v>193.72898169795363</x:v>
      </x:c>
      <x:c r="Q26" s="11" t="n">
        <x:f>MIN(F26*E26,O26)</x:f>
        <x:v>200</x:v>
      </x:c>
      <x:c r="R26" s="11" t="n">
        <x:f>ABS(H26)/(EXP(C26*'Исходные'!B31*PI()/180)-1)</x:f>
        <x:v>524.8574999382919</x:v>
      </x:c>
      <x:c r="S26" s="11" t="n">
        <x:f>'Исходные'!B26*COS('Исходные'!B32*PI()/180)*(('Исходные'!B7+'Исходные'!B9)*'Исходные'!B17/(8*'Исходные'!B18)+'Исходные'!B8/(4*'Исходные'!B18))</x:f>
        <x:v>6891.100350318854</x:v>
      </x:c>
      <x:c r="T26" s="11" t="n">
        <x:f>'Исходные'!B26*COS('Исходные'!B32*PI()/180)*'Исходные'!B9*'Исходные'!B19/(8*'Исходные'!B20)</x:f>
        <x:v>612.5422533616759</x:v>
      </x:c>
    </x:row>
    <x:row r="27" ht="31" customHeight="1">
      <x:c r="A27" s="2" t="str">
        <x:v>HIGH</x:v>
      </x:c>
      <x:c r="B27" s="2" t="str">
        <x:v>RUN</x:v>
      </x:c>
      <x:c r="C27" s="13" t="n">
        <x:v>0.2</x:v>
      </x:c>
      <x:c r="D27" s="13" t="n">
        <x:v>0.06</x:v>
      </x:c>
      <x:c r="E27" s="13" t="n">
        <x:v>200</x:v>
      </x:c>
      <x:c r="F27" s="13" t="n">
        <x:v>1</x:v>
      </x:c>
      <x:c r="G27" s="13" t="n">
        <x:f>0</x:f>
        <x:v>0</x:v>
      </x:c>
      <x:c r="H27" s="11" t="n">
        <x:f>O27+L27*'Исходные'!B6+N27</x:f>
        <x:v>336.22898169795366</x:v>
      </x:c>
      <x:c r="I27" s="11" t="n">
        <x:f>MAX(S27-P27,T27-Q27,R27-MIN(0,H27),-MIN(0,P27,Q27,H27))</x:f>
        <x:v>6644.585964690615</x:v>
      </x:c>
      <x:c r="J27" s="11" t="n">
        <x:f>2*I27+H27</x:f>
        <x:v>13625.400911079183</x:v>
      </x:c>
      <x:c r="K27" s="11" t="n">
        <x:f>2*(I27+O27)</x:f>
        <x:v>13782.200700637708</x:v>
      </x:c>
      <x:c r="L27" s="11" t="n">
        <x:f>F27*D27*'Исходные'!B26*('Исходные'!B7+'Исходные'!B9)*COS('Исходные'!B32*PI()/180)-'Исходные'!B26*('Исходные'!B7+'Исходные'!B9)*SIN('Исходные'!B32*PI()/180)+('Исходные'!B7+'Исходные'!B9+'Исходные'!B10/(2*'Исходные'!B6))*G27</x:f>
        <x:v>8.602769486136973</x:v>
      </x:c>
      <x:c r="M27" s="11" t="n">
        <x:f>F27*D27*'Исходные'!B26*'Исходные'!B9*COS('Исходные'!B32*PI()/180)+'Исходные'!B26*'Исходные'!B9*SIN('Исходные'!B32*PI()/180)+('Исходные'!B9+'Исходные'!B10/(2*'Исходные'!B6))*G27</x:f>
        <x:v>4.65143856282395</x:v>
      </x:c>
      <x:c r="N27" s="11" t="n">
        <x:f>'Исходные'!B8*(F27*D27*'Исходные'!B26*COS('Исходные'!B32*PI()/180)-'Исходные'!B26*SIN('Исходные'!B32*PI()/180)+G27)</x:f>
        <x:v>3.686901208344415</x:v>
      </x:c>
      <x:c r="O27" s="11" t="n">
        <x:f>F27*E27+M27*'Исходные'!B6</x:f>
        <x:v>246.5143856282395</x:v>
      </x:c>
      <x:c r="P27" s="11" t="n">
        <x:f>O27+MIN(0,L27*'Исходные'!B6)+MIN(0,N27)</x:f>
        <x:v>246.5143856282395</x:v>
      </x:c>
      <x:c r="Q27" s="11" t="n">
        <x:f>MIN(F27*E27,O27)</x:f>
        <x:v>200</x:v>
      </x:c>
      <x:c r="R27" s="11" t="n">
        <x:f>ABS(H27)/(EXP(C27*'Исходные'!B31*PI()/180)-1)</x:f>
        <x:v>384.50070446235077</x:v>
      </x:c>
      <x:c r="S27" s="11" t="n">
        <x:f>'Исходные'!B26*COS('Исходные'!B32*PI()/180)*(('Исходные'!B7+'Исходные'!B9)*'Исходные'!B17/(8*'Исходные'!B18)+'Исходные'!B8/(4*'Исходные'!B18))</x:f>
        <x:v>6891.100350318854</x:v>
      </x:c>
      <x:c r="T27" s="11" t="n">
        <x:f>'Исходные'!B26*COS('Исходные'!B32*PI()/180)*'Исходные'!B9*'Исходные'!B19/(8*'Исходные'!B20)</x:f>
        <x:v>612.5422533616759</x:v>
      </x:c>
    </x:row>
    <x:row r="28" ht="31" customHeight="1">
      <x:c r="A28" s="2" t="str">
        <x:v>HIGH</x:v>
      </x:c>
      <x:c r="B28" s="2" t="str">
        <x:v>START</x:v>
      </x:c>
      <x:c r="C28" s="13" t="n">
        <x:v>0.2</x:v>
      </x:c>
      <x:c r="D28" s="13" t="n">
        <x:v>0.06</x:v>
      </x:c>
      <x:c r="E28" s="13" t="n">
        <x:v>200</x:v>
      </x:c>
      <x:c r="F28" s="13" t="n">
        <x:v>1.5</x:v>
      </x:c>
      <x:c r="G28" s="13" t="n">
        <x:f>'Исходные'!B33/'Исходные'!B34</x:f>
        <x:v>0.3</x:v>
      </x:c>
      <x:c r="H28" s="11" t="n">
        <x:f>O28+L28*'Исходные'!B6+N28</x:f>
        <x:v>700.7473985675995</x:v>
      </x:c>
      <x:c r="I28" s="11" t="n">
        <x:f>MAX(S28-P28,T28-Q28,R28-MIN(0,H28),-MIN(0,P28,Q28,H28))</x:f>
        <x:v>6505.884950609934</x:v>
      </x:c>
      <x:c r="J28" s="11" t="n">
        <x:f>2*I28+H28</x:f>
        <x:v>13712.517299787467</x:v>
      </x:c>
      <x:c r="K28" s="11" t="n">
        <x:f>2*(I28+O28)</x:f>
        <x:v>13782.200700637708</x:v>
      </x:c>
      <x:c r="L28" s="11" t="n">
        <x:f>F28*D28*'Исходные'!B26*('Исходные'!B7+'Исходные'!B9)*COS('Исходные'!B32*PI()/180)-'Исходные'!B26*('Исходные'!B7+'Исходные'!B9)*SIN('Исходные'!B32*PI()/180)+('Исходные'!B7+'Исходные'!B9+'Исходные'!B10/(2*'Исходные'!B6))*G28</x:f>
        <x:v>30.293479342613125</x:v>
      </x:c>
      <x:c r="M28" s="11" t="n">
        <x:f>F28*D28*'Исходные'!B26*'Исходные'!B9*COS('Исходные'!B32*PI()/180)+'Исходные'!B26*'Исходные'!B9*SIN('Исходные'!B32*PI()/180)+('Исходные'!B9+'Исходные'!B10/(2*'Исходные'!B6))*G28</x:f>
        <x:v>8.521539970891972</x:v>
      </x:c>
      <x:c r="N28" s="11" t="n">
        <x:f>'Исходные'!B8*(F28*D28*'Исходные'!B26*COS('Исходные'!B32*PI()/180)-'Исходные'!B26*SIN('Исходные'!B32*PI()/180)+G28)</x:f>
        <x:v>12.597205432548485</x:v>
      </x:c>
      <x:c r="O28" s="11" t="n">
        <x:f>F28*E28+M28*'Исходные'!B6</x:f>
        <x:v>385.21539970891973</x:v>
      </x:c>
      <x:c r="P28" s="11" t="n">
        <x:f>O28+MIN(0,L28*'Исходные'!B6)+MIN(0,N28)</x:f>
        <x:v>385.21539970891973</x:v>
      </x:c>
      <x:c r="Q28" s="11" t="n">
        <x:f>MIN(F28*E28,O28)</x:f>
        <x:v>300</x:v>
      </x:c>
      <x:c r="R28" s="11" t="n">
        <x:f>ABS(H28)/(EXP(C28*'Исходные'!B31*PI()/180)-1)</x:f>
        <x:v>801.352301752046</x:v>
      </x:c>
      <x:c r="S28" s="11" t="n">
        <x:f>'Исходные'!B26*COS('Исходные'!B32*PI()/180)*(('Исходные'!B7+'Исходные'!B9)*'Исходные'!B17/(8*'Исходные'!B18)+'Исходные'!B8/(4*'Исходные'!B18))</x:f>
        <x:v>6891.100350318854</x:v>
      </x:c>
      <x:c r="T28" s="11" t="n">
        <x:f>'Исходные'!B26*COS('Исходные'!B32*PI()/180)*'Исходные'!B9*'Исходные'!B19/(8*'Исходные'!B20)</x:f>
        <x:v>612.5422533616759</x:v>
      </x:c>
    </x:row>
    <x:row r="29" ht="31" customHeight="1">
      <x:c r="A29" s="2" t="str">
        <x:v>HIGH</x:v>
      </x:c>
      <x:c r="B29" s="2" t="str">
        <x:v>STOP</x:v>
      </x:c>
      <x:c r="C29" s="13" t="n">
        <x:v>0.2</x:v>
      </x:c>
      <x:c r="D29" s="13" t="n">
        <x:v>0.06</x:v>
      </x:c>
      <x:c r="E29" s="13" t="n">
        <x:v>200</x:v>
      </x:c>
      <x:c r="F29" s="13" t="n">
        <x:v>1</x:v>
      </x:c>
      <x:c r="G29" s="13" t="n">
        <x:f>-'Исходные'!B33/'Исходные'!B35</x:f>
        <x:v>-0.3</x:v>
      </x:c>
      <x:c r="H29" s="11" t="n">
        <x:f>O29+L29*'Исходные'!B6+N29</x:f>
        <x:v>193.72898169795363</x:v>
      </x:c>
      <x:c r="I29" s="11" t="n">
        <x:f>MAX(S29-P29,T29-Q29,R29-MIN(0,H29),-MIN(0,P29,Q29,H29))</x:f>
        <x:v>6697.3713686209</x:v>
      </x:c>
      <x:c r="J29" s="11" t="n">
        <x:f>2*I29+H29</x:f>
        <x:v>13588.471718939754</x:v>
      </x:c>
      <x:c r="K29" s="11" t="n">
        <x:f>2*(I29+O29)</x:f>
        <x:v>13839.77150849828</x:v>
      </x:c>
      <x:c r="L29" s="11" t="n">
        <x:f>F29*D29*'Исходные'!B26*('Исходные'!B7+'Исходные'!B9)*COS('Исходные'!B32*PI()/180)-'Исходные'!B26*('Исходные'!B7+'Исходные'!B9)*SIN('Исходные'!B32*PI()/180)+('Исходные'!B7+'Исходные'!B9+'Исходные'!B10/(2*'Исходные'!B6))*G29</x:f>
        <x:v>-2.7972305138630276</x:v>
      </x:c>
      <x:c r="M29" s="11" t="n">
        <x:f>F29*D29*'Исходные'!B26*'Исходные'!B9*COS('Исходные'!B32*PI()/180)+'Исходные'!B26*'Исходные'!B9*SIN('Исходные'!B32*PI()/180)+('Исходные'!B9+'Исходные'!B10/(2*'Исходные'!B6))*G29</x:f>
        <x:v>2.25143856282395</x:v>
      </x:c>
      <x:c r="N29" s="11" t="n">
        <x:f>'Исходные'!B8*(F29*D29*'Исходные'!B26*COS('Исходные'!B32*PI()/180)-'Исходные'!B26*SIN('Исходные'!B32*PI()/180)+G29)</x:f>
        <x:v>-0.8130987916555849</x:v>
      </x:c>
      <x:c r="O29" s="11" t="n">
        <x:f>F29*E29+M29*'Исходные'!B6</x:f>
        <x:v>222.5143856282395</x:v>
      </x:c>
      <x:c r="P29" s="11" t="n">
        <x:f>O29+MIN(0,L29*'Исходные'!B6)+MIN(0,N29)</x:f>
        <x:v>193.72898169795363</x:v>
      </x:c>
      <x:c r="Q29" s="11" t="n">
        <x:f>MIN(F29*E29,O29)</x:f>
        <x:v>200</x:v>
      </x:c>
      <x:c r="R29" s="11" t="n">
        <x:f>ABS(H29)/(EXP(C29*'Исходные'!B31*PI()/180)-1)</x:f>
        <x:v>221.5422643267351</x:v>
      </x:c>
      <x:c r="S29" s="11" t="n">
        <x:f>'Исходные'!B26*COS('Исходные'!B32*PI()/180)*(('Исходные'!B7+'Исходные'!B9)*'Исходные'!B17/(8*'Исходные'!B18)+'Исходные'!B8/(4*'Исходные'!B18))</x:f>
        <x:v>6891.100350318854</x:v>
      </x:c>
      <x:c r="T29" s="11" t="n">
        <x:f>'Исходные'!B26*COS('Исходные'!B32*PI()/180)*'Исходные'!B9*'Исходные'!B19/(8*'Исходные'!B20)</x:f>
        <x:v>612.5422533616759</x:v>
      </x:c>
    </x:row>
    <x:row r="30" ht="31" customHeight="1">
      <x:c r="A30" s="2" t="str">
        <x:v>HIGH</x:v>
      </x:c>
      <x:c r="B30" s="2" t="str">
        <x:v>RUN</x:v>
      </x:c>
      <x:c r="C30" s="13" t="n">
        <x:v>0.3</x:v>
      </x:c>
      <x:c r="D30" s="13" t="n">
        <x:v>0.06</x:v>
      </x:c>
      <x:c r="E30" s="13" t="n">
        <x:v>200</x:v>
      </x:c>
      <x:c r="F30" s="13" t="n">
        <x:v>1</x:v>
      </x:c>
      <x:c r="G30" s="13" t="n">
        <x:f>0</x:f>
        <x:v>0</x:v>
      </x:c>
      <x:c r="H30" s="11" t="n">
        <x:f>O30+L30*'Исходные'!B6+N30</x:f>
        <x:v>336.22898169795366</x:v>
      </x:c>
      <x:c r="I30" s="11" t="n">
        <x:f>MAX(S30-P30,T30-Q30,R30-MIN(0,H30),-MIN(0,P30,Q30,H30))</x:f>
        <x:v>6644.585964690615</x:v>
      </x:c>
      <x:c r="J30" s="11" t="n">
        <x:f>2*I30+H30</x:f>
        <x:v>13625.400911079183</x:v>
      </x:c>
      <x:c r="K30" s="11" t="n">
        <x:f>2*(I30+O30)</x:f>
        <x:v>13782.200700637708</x:v>
      </x:c>
      <x:c r="L30" s="11" t="n">
        <x:f>F30*D30*'Исходные'!B26*('Исходные'!B7+'Исходные'!B9)*COS('Исходные'!B32*PI()/180)-'Исходные'!B26*('Исходные'!B7+'Исходные'!B9)*SIN('Исходные'!B32*PI()/180)+('Исходные'!B7+'Исходные'!B9+'Исходные'!B10/(2*'Исходные'!B6))*G30</x:f>
        <x:v>8.602769486136973</x:v>
      </x:c>
      <x:c r="M30" s="11" t="n">
        <x:f>F30*D30*'Исходные'!B26*'Исходные'!B9*COS('Исходные'!B32*PI()/180)+'Исходные'!B26*'Исходные'!B9*SIN('Исходные'!B32*PI()/180)+('Исходные'!B9+'Исходные'!B10/(2*'Исходные'!B6))*G30</x:f>
        <x:v>4.65143856282395</x:v>
      </x:c>
      <x:c r="N30" s="11" t="n">
        <x:f>'Исходные'!B8*(F30*D30*'Исходные'!B26*COS('Исходные'!B32*PI()/180)-'Исходные'!B26*SIN('Исходные'!B32*PI()/180)+G30)</x:f>
        <x:v>3.686901208344415</x:v>
      </x:c>
      <x:c r="O30" s="11" t="n">
        <x:f>F30*E30+M30*'Исходные'!B6</x:f>
        <x:v>246.5143856282395</x:v>
      </x:c>
      <x:c r="P30" s="11" t="n">
        <x:f>O30+MIN(0,L30*'Исходные'!B6)+MIN(0,N30)</x:f>
        <x:v>246.5143856282395</x:v>
      </x:c>
      <x:c r="Q30" s="11" t="n">
        <x:f>MIN(F30*E30,O30)</x:f>
        <x:v>200</x:v>
      </x:c>
      <x:c r="R30" s="11" t="n">
        <x:f>ABS(H30)/(EXP(C30*'Исходные'!B31*PI()/180)-1)</x:f>
        <x:v>214.66004452603775</x:v>
      </x:c>
      <x:c r="S30" s="11" t="n">
        <x:f>'Исходные'!B26*COS('Исходные'!B32*PI()/180)*(('Исходные'!B7+'Исходные'!B9)*'Исходные'!B17/(8*'Исходные'!B18)+'Исходные'!B8/(4*'Исходные'!B18))</x:f>
        <x:v>6891.100350318854</x:v>
      </x:c>
      <x:c r="T30" s="11" t="n">
        <x:f>'Исходные'!B26*COS('Исходные'!B32*PI()/180)*'Исходные'!B9*'Исходные'!B19/(8*'Исходные'!B20)</x:f>
        <x:v>612.5422533616759</x:v>
      </x:c>
    </x:row>
    <x:row r="31" ht="31" customHeight="1">
      <x:c r="A31" s="2" t="str">
        <x:v>HIGH</x:v>
      </x:c>
      <x:c r="B31" s="2" t="str">
        <x:v>START</x:v>
      </x:c>
      <x:c r="C31" s="13" t="n">
        <x:v>0.3</x:v>
      </x:c>
      <x:c r="D31" s="13" t="n">
        <x:v>0.06</x:v>
      </x:c>
      <x:c r="E31" s="13" t="n">
        <x:v>200</x:v>
      </x:c>
      <x:c r="F31" s="13" t="n">
        <x:v>1.5</x:v>
      </x:c>
      <x:c r="G31" s="13" t="n">
        <x:f>'Исходные'!B33/'Исходные'!B34</x:f>
        <x:v>0.3</x:v>
      </x:c>
      <x:c r="H31" s="11" t="n">
        <x:f>O31+L31*'Исходные'!B6+N31</x:f>
        <x:v>700.7473985675995</x:v>
      </x:c>
      <x:c r="I31" s="11" t="n">
        <x:f>MAX(S31-P31,T31-Q31,R31-MIN(0,H31),-MIN(0,P31,Q31,H31))</x:f>
        <x:v>6505.884950609934</x:v>
      </x:c>
      <x:c r="J31" s="11" t="n">
        <x:f>2*I31+H31</x:f>
        <x:v>13712.517299787467</x:v>
      </x:c>
      <x:c r="K31" s="11" t="n">
        <x:f>2*(I31+O31)</x:f>
        <x:v>13782.200700637708</x:v>
      </x:c>
      <x:c r="L31" s="11" t="n">
        <x:f>F31*D31*'Исходные'!B26*('Исходные'!B7+'Исходные'!B9)*COS('Исходные'!B32*PI()/180)-'Исходные'!B26*('Исходные'!B7+'Исходные'!B9)*SIN('Исходные'!B32*PI()/180)+('Исходные'!B7+'Исходные'!B9+'Исходные'!B10/(2*'Исходные'!B6))*G31</x:f>
        <x:v>30.293479342613125</x:v>
      </x:c>
      <x:c r="M31" s="11" t="n">
        <x:f>F31*D31*'Исходные'!B26*'Исходные'!B9*COS('Исходные'!B32*PI()/180)+'Исходные'!B26*'Исходные'!B9*SIN('Исходные'!B32*PI()/180)+('Исходные'!B9+'Исходные'!B10/(2*'Исходные'!B6))*G31</x:f>
        <x:v>8.521539970891972</x:v>
      </x:c>
      <x:c r="N31" s="11" t="n">
        <x:f>'Исходные'!B8*(F31*D31*'Исходные'!B26*COS('Исходные'!B32*PI()/180)-'Исходные'!B26*SIN('Исходные'!B32*PI()/180)+G31)</x:f>
        <x:v>12.597205432548485</x:v>
      </x:c>
      <x:c r="O31" s="11" t="n">
        <x:f>F31*E31+M31*'Исходные'!B6</x:f>
        <x:v>385.21539970891973</x:v>
      </x:c>
      <x:c r="P31" s="11" t="n">
        <x:f>O31+MIN(0,L31*'Исходные'!B6)+MIN(0,N31)</x:f>
        <x:v>385.21539970891973</x:v>
      </x:c>
      <x:c r="Q31" s="11" t="n">
        <x:f>MIN(F31*E31,O31)</x:f>
        <x:v>300</x:v>
      </x:c>
      <x:c r="R31" s="11" t="n">
        <x:f>ABS(H31)/(EXP(C31*'Исходные'!B31*PI()/180)-1)</x:f>
        <x:v>447.38102889998885</x:v>
      </x:c>
      <x:c r="S31" s="11" t="n">
        <x:f>'Исходные'!B26*COS('Исходные'!B32*PI()/180)*(('Исходные'!B7+'Исходные'!B9)*'Исходные'!B17/(8*'Исходные'!B18)+'Исходные'!B8/(4*'Исходные'!B18))</x:f>
        <x:v>6891.100350318854</x:v>
      </x:c>
      <x:c r="T31" s="11" t="n">
        <x:f>'Исходные'!B26*COS('Исходные'!B32*PI()/180)*'Исходные'!B9*'Исходные'!B19/(8*'Исходные'!B20)</x:f>
        <x:v>612.5422533616759</x:v>
      </x:c>
    </x:row>
    <x:row r="32" ht="31" customHeight="1">
      <x:c r="A32" s="2" t="str">
        <x:v>HIGH</x:v>
      </x:c>
      <x:c r="B32" s="2" t="str">
        <x:v>STOP</x:v>
      </x:c>
      <x:c r="C32" s="13" t="n">
        <x:v>0.3</x:v>
      </x:c>
      <x:c r="D32" s="13" t="n">
        <x:v>0.06</x:v>
      </x:c>
      <x:c r="E32" s="13" t="n">
        <x:v>200</x:v>
      </x:c>
      <x:c r="F32" s="13" t="n">
        <x:v>1</x:v>
      </x:c>
      <x:c r="G32" s="13" t="n">
        <x:f>-'Исходные'!B33/'Исходные'!B35</x:f>
        <x:v>-0.3</x:v>
      </x:c>
      <x:c r="H32" s="11" t="n">
        <x:f>O32+L32*'Исходные'!B6+N32</x:f>
        <x:v>193.72898169795363</x:v>
      </x:c>
      <x:c r="I32" s="11" t="n">
        <x:f>MAX(S32-P32,T32-Q32,R32-MIN(0,H32),-MIN(0,P32,Q32,H32))</x:f>
        <x:v>6697.3713686209</x:v>
      </x:c>
      <x:c r="J32" s="11" t="n">
        <x:f>2*I32+H32</x:f>
        <x:v>13588.471718939754</x:v>
      </x:c>
      <x:c r="K32" s="11" t="n">
        <x:f>2*(I32+O32)</x:f>
        <x:v>13839.77150849828</x:v>
      </x:c>
      <x:c r="L32" s="11" t="n">
        <x:f>F32*D32*'Исходные'!B26*('Исходные'!B7+'Исходные'!B9)*COS('Исходные'!B32*PI()/180)-'Исходные'!B26*('Исходные'!B7+'Исходные'!B9)*SIN('Исходные'!B32*PI()/180)+('Исходные'!B7+'Исходные'!B9+'Исходные'!B10/(2*'Исходные'!B6))*G32</x:f>
        <x:v>-2.7972305138630276</x:v>
      </x:c>
      <x:c r="M32" s="11" t="n">
        <x:f>F32*D32*'Исходные'!B26*'Исходные'!B9*COS('Исходные'!B32*PI()/180)+'Исходные'!B26*'Исходные'!B9*SIN('Исходные'!B32*PI()/180)+('Исходные'!B9+'Исходные'!B10/(2*'Исходные'!B6))*G32</x:f>
        <x:v>2.25143856282395</x:v>
      </x:c>
      <x:c r="N32" s="11" t="n">
        <x:f>'Исходные'!B8*(F32*D32*'Исходные'!B26*COS('Исходные'!B32*PI()/180)-'Исходные'!B26*SIN('Исходные'!B32*PI()/180)+G32)</x:f>
        <x:v>-0.8130987916555849</x:v>
      </x:c>
      <x:c r="O32" s="11" t="n">
        <x:f>F32*E32+M32*'Исходные'!B6</x:f>
        <x:v>222.5143856282395</x:v>
      </x:c>
      <x:c r="P32" s="11" t="n">
        <x:f>O32+MIN(0,L32*'Исходные'!B6)+MIN(0,N32)</x:f>
        <x:v>193.72898169795363</x:v>
      </x:c>
      <x:c r="Q32" s="11" t="n">
        <x:f>MIN(F32*E32,O32)</x:f>
        <x:v>200</x:v>
      </x:c>
      <x:c r="R32" s="11" t="n">
        <x:f>ABS(H32)/(EXP(C32*'Исходные'!B31*PI()/180)-1)</x:f>
        <x:v>123.68318646197112</x:v>
      </x:c>
      <x:c r="S32" s="11" t="n">
        <x:f>'Исходные'!B26*COS('Исходные'!B32*PI()/180)*(('Исходные'!B7+'Исходные'!B9)*'Исходные'!B17/(8*'Исходные'!B18)+'Исходные'!B8/(4*'Исходные'!B18))</x:f>
        <x:v>6891.100350318854</x:v>
      </x:c>
      <x:c r="T32" s="11" t="n">
        <x:f>'Исходные'!B26*COS('Исходные'!B32*PI()/180)*'Исходные'!B9*'Исходные'!B19/(8*'Исходные'!B20)</x:f>
        <x:v>612.5422533616759</x:v>
      </x:c>
    </x:row>
    <x:row r="33" ht="31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</x:row>
    <x:row r="34" ht="31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23" hidden="0" customWidth="1"/>
    <x:col min="3" max="3" width="13" hidden="0" customWidth="1"/>
    <x:col min="4" max="4" width="86" hidden="0" customWidth="1"/>
  </x:cols>
  <x:sheetData>
    <x:row r="1" ht="31" customHeight="1">
      <x:c r="A1" s="2"/>
      <x:c r="B1" s="2"/>
      <x:c r="C1" s="2"/>
      <x:c r="D1" s="2"/>
    </x:row>
    <x:row r="2" ht="31" customHeight="1">
      <x:c r="A2" s="3" t="str">
        <x:v>Исходные и допущения R08</x:v>
      </x:c>
      <x:c r="B2" s="2"/>
      <x:c r="C2" s="2"/>
      <x:c r="D2" s="2"/>
    </x:row>
    <x:row r="3" ht="31" customHeight="1">
      <x:c r="A3" s="2"/>
      <x:c r="B3" s="2"/>
      <x:c r="C3" s="2"/>
      <x:c r="D3" s="2"/>
    </x:row>
    <x:row r="4" ht="31" customHeight="1">
      <x:c r="A4" s="2"/>
      <x:c r="B4" s="2"/>
      <x:c r="C4" s="2"/>
      <x:c r="D4" s="2"/>
    </x:row>
    <x:row r="5" ht="46" customHeight="1">
      <x:c r="A5" s="6" t="str">
        <x:v>Параметр</x:v>
      </x:c>
      <x:c r="B5" s="6" t="str">
        <x:v>Значение</x:v>
      </x:c>
      <x:c r="C5" s="6" t="str">
        <x:v>Единица</x:v>
      </x:c>
      <x:c r="D5" s="6" t="str">
        <x:v>Смысл / статус</x:v>
      </x:c>
    </x:row>
    <x:row r="6" ht="38" customHeight="1">
      <x:c r="A6" s="7" t="str">
        <x:v>L расчётной прямой ветви</x:v>
      </x:c>
      <x:c r="B6" s="8" t="n">
        <x:v>10</x:v>
      </x:c>
      <x:c r="C6" s="7" t="str">
        <x:v>м</x:v>
      </x:c>
      <x:c r="D6" s="7" t="str">
        <x:v>Не утверждённые оси барабанов; сценарий длины</x:v>
      </x:c>
    </x:row>
    <x:row r="7" ht="38" customHeight="1">
      <x:c r="A7" s="7" t="str">
        <x:v>q материала</x:v>
      </x:c>
      <x:c r="B7" s="8" t="n">
        <x:v>30</x:v>
      </x:c>
      <x:c r="C7" s="7" t="str">
        <x:v>кг/м</x:v>
      </x:c>
      <x:c r="D7" s="7" t="str">
        <x:v>Ориентир задания, не установленная производительность</x:v>
      </x:c>
    </x:row>
    <x:row r="8" ht="38" customHeight="1">
      <x:c r="A8" s="7" t="str">
        <x:v>Единственная локальная масса</x:v>
      </x:c>
      <x:c r="B8" s="8" t="n">
        <x:v>15</x:v>
      </x:c>
      <x:c r="C8" s="7" t="str">
        <x:v>кг</x:v>
      </x:c>
      <x:c r="D8" s="7" t="str">
        <x:v>Условно совместно с q; не 3 одновременно падающие порции</x:v>
      </x:c>
    </x:row>
    <x:row r="9" ht="38" customHeight="1">
      <x:c r="A9" s="7" t="str">
        <x:v>q ленты</x:v>
      </x:c>
      <x:c r="B9" s="8" t="n">
        <x:v>5</x:v>
      </x:c>
      <x:c r="C9" s="7" t="str">
        <x:v>кг/м</x:v>
      </x:c>
      <x:c r="D9" s="7" t="str">
        <x:v>Допущение; паспорт ленты неизвестен</x:v>
      </x:c>
    </x:row>
    <x:row r="10" ht="38" customHeight="1">
      <x:c r="A10" s="7" t="str">
        <x:v>Дополнительная инерционная масса</x:v>
      </x:c>
      <x:c r="B10" s="8" t="n">
        <x:v>60</x:v>
      </x:c>
      <x:c r="C10" s="7" t="str">
        <x:v>кг</x:v>
      </x:c>
      <x:c r="D10" s="7" t="str">
        <x:v>Допущение, поровну по ветвям; без инерции головного привода</x:v>
      </x:c>
    </x:row>
    <x:row r="11" ht="38" customHeight="1">
      <x:c r="A11" s="7" t="str">
        <x:v>Уклон вниз</x:v>
      </x:c>
      <x:c r="B11" s="8" t="n">
        <x:v>1.5</x:v>
      </x:c>
      <x:c r="C11" s="7" t="str">
        <x:v>град</x:v>
      </x:c>
      <x:c r="D11" s="7" t="str">
        <x:v>Диапазон пользователя1–2°</x:v>
      </x:c>
    </x:row>
    <x:row r="12" ht="38" customHeight="1">
      <x:c r="A12" s="7" t="str">
        <x:v>Скорость</x:v>
      </x:c>
      <x:c r="B12" s="8" t="n">
        <x:v>0.2</x:v>
      </x:c>
      <x:c r="C12" s="7" t="str">
        <x:v>м/с</x:v>
      </x:c>
      <x:c r="D12" s="7" t="str">
        <x:v>Пример, не выбранная рабочая скорость</x:v>
      </x:c>
    </x:row>
    <x:row r="13" ht="38" customHeight="1">
      <x:c r="A13" s="7" t="str">
        <x:v>c эквивалентного сопротивления</x:v>
      </x:c>
      <x:c r="B13" s="8" t="n">
        <x:v>0.03</x:v>
      </x:c>
      <x:c r="C13" s="7" t="str">
        <x:v>—</x:v>
      </x:c>
      <x:c r="D13" s="7" t="str">
        <x:v>Параметр упрощенной модели, не коэффициент ISO/DIN</x:v>
      </x:c>
    </x:row>
    <x:row r="14" ht="38" customHeight="1">
      <x:c r="A14" s="7" t="str">
        <x:v>Сопротивление оборудования</x:v>
      </x:c>
      <x:c r="B14" s="8" t="n">
        <x:v>100</x:v>
      </x:c>
      <x:c r="C14" s="7" t="str">
        <x:v>Н</x:v>
      </x:c>
      <x:c r="D14" s="7" t="str">
        <x:v>Пример; сосредоточено после привода на обратной ветви</x:v>
      </x:c>
    </x:row>
    <x:row r="15" ht="38" customHeight="1">
      <x:c r="A15" s="7" t="str">
        <x:v>μ барабан/лента</x:v>
      </x:c>
      <x:c r="B15" s="8" t="n">
        <x:v>0.2</x:v>
      </x:c>
      <x:c r="C15" s="7" t="str">
        <x:v>—</x:v>
      </x:c>
      <x:c r="D15" s="7" t="str">
        <x:v>Пример; сцепление мокрой пары не измерено</x:v>
      </x:c>
    </x:row>
    <x:row r="16" ht="38" customHeight="1">
      <x:c r="A16" s="7" t="str">
        <x:v>Обхват</x:v>
      </x:c>
      <x:c r="B16" s="8" t="n">
        <x:v>180</x:v>
      </x:c>
      <x:c r="C16" s="7" t="str">
        <x:v>град</x:v>
      </x:c>
      <x:c r="D16" s="7" t="str">
        <x:v>Параллельные ветви, без отклоняющего барабана</x:v>
      </x:c>
    </x:row>
    <x:row r="17" ht="38" customHeight="1">
      <x:c r="A17" s="7" t="str">
        <x:v>Шаг рабочих роликов</x:v>
      </x:c>
      <x:c r="B17" s="8" t="n">
        <x:v>0.75</x:v>
      </x:c>
      <x:c r="C17" s="7" t="str">
        <x:v>м</x:v>
      </x:c>
      <x:c r="D17" s="7" t="str">
        <x:v>Пример до компоновки</x:v>
      </x:c>
    </x:row>
    <x:row r="18" ht="38" customHeight="1">
      <x:c r="A18" s="7" t="str">
        <x:v>Относительное провисание рабочей</x:v>
      </x:c>
      <x:c r="B18" s="9" t="n">
        <x:v>0.01</x:v>
      </x:c>
      <x:c r="C18" s="7" t="str">
        <x:v>доля</x:v>
      </x:c>
      <x:c r="D18" s="7" t="str">
        <x:v>Проектный ориентир1%, не утвержденный норматив</x:v>
      </x:c>
    </x:row>
    <x:row r="19" ht="38" customHeight="1">
      <x:c r="A19" s="7" t="str">
        <x:v>Шаг обратных роликов</x:v>
      </x:c>
      <x:c r="B19" s="10" t="n">
        <x:v>2</x:v>
      </x:c>
      <x:c r="C19" s="7" t="str">
        <x:v>м</x:v>
      </x:c>
      <x:c r="D19" s="7" t="str">
        <x:v>Пример</x:v>
      </x:c>
    </x:row>
    <x:row r="20" ht="38" customHeight="1">
      <x:c r="A20" s="7" t="str">
        <x:v>Относительное провисание обратной</x:v>
      </x:c>
      <x:c r="B20" s="9" t="n">
        <x:v>0.02</x:v>
      </x:c>
      <x:c r="C20" s="7" t="str">
        <x:v>доля</x:v>
      </x:c>
      <x:c r="D20" s="7" t="str">
        <x:v>Проектный ориентир2%</x:v>
      </x:c>
    </x:row>
    <x:row r="21" ht="38" customHeight="1">
      <x:c r="A21" s="7" t="str">
        <x:v>D барабана для момента/оборотов</x:v>
      </x:c>
      <x:c r="B21" s="8" t="n">
        <x:v>0.2</x:v>
      </x:c>
      <x:c r="C21" s="7" t="str">
        <x:v>м</x:v>
      </x:c>
      <x:c r="D21" s="7" t="str">
        <x:v>Пример200мм; минимальный диаметр ленты неизвестен</x:v>
      </x:c>
    </x:row>
    <x:row r="22" ht="38" customHeight="1">
      <x:c r="A22" s="7" t="str">
        <x:v>КПД передачи</x:v>
      </x:c>
      <x:c r="B22" s="8" t="n">
        <x:v>0.85</x:v>
      </x:c>
      <x:c r="C22" s="7" t="str">
        <x:v>доля</x:v>
      </x:c>
      <x:c r="D22" s="7" t="str">
        <x:v>Иллюстрация; не характеристика выбранного редуктора</x:v>
      </x:c>
    </x:row>
    <x:row r="23" ht="38" customHeight="1">
      <x:c r="A23" s="7" t="str">
        <x:v>Время разгона</x:v>
      </x:c>
      <x:c r="B23" s="8" t="n">
        <x:v>3</x:v>
      </x:c>
      <x:c r="C23" s="7" t="str">
        <x:v>с</x:v>
      </x:c>
      <x:c r="D23" s="7" t="str">
        <x:v>Пример; без ПЧ его нельзя задать этим расчётом</x:v>
      </x:c>
    </x:row>
    <x:row r="24" ht="38" customHeight="1">
      <x:c r="A24" s="7" t="str">
        <x:v>Время остановки</x:v>
      </x:c>
      <x:c r="B24" s="8" t="n">
        <x:v>3</x:v>
      </x:c>
      <x:c r="C24" s="7" t="str">
        <x:v>с</x:v>
      </x:c>
      <x:c r="D24" s="7" t="str">
        <x:v>Пример, не выбранная тормозная характеристика</x:v>
      </x:c>
    </x:row>
    <x:row r="25" ht="38" customHeight="1">
      <x:c r="A25" s="7" t="str">
        <x:v>Множитель сопротивления при пуске</x:v>
      </x:c>
      <x:c r="B25" s="8" t="n">
        <x:v>1.5</x:v>
      </x:c>
      <x:c r="C25" s="7" t="str">
        <x:v>—</x:v>
      </x:c>
      <x:c r="D25" s="7" t="str">
        <x:v>Условное допущение; не нормативный коэффициент</x:v>
      </x:c>
    </x:row>
    <x:row r="26" ht="38" customHeight="1">
      <x:c r="A26" s="7" t="str">
        <x:v>g</x:v>
      </x:c>
      <x:c r="B26" s="8" t="n">
        <x:v>9.80665</x:v>
      </x:c>
      <x:c r="C26" s="7" t="str">
        <x:v>м/с²</x:v>
      </x:c>
      <x:c r="D26" s="7" t="str">
        <x:v>Константа</x:v>
      </x:c>
    </x:row>
    <x:row r="27" ht="38" customHeight="1">
      <x:c r="A27" s="7" t="str">
        <x:v>Ограниченный момент на барабане</x:v>
      </x:c>
      <x:c r="B27" s="8"/>
      <x:c r="C27" s="7" t="str">
        <x:v>Н·м</x:v>
      </x:c>
      <x:c r="D27" s="7" t="str">
        <x:v>Неизвестно; заклинивание не рассчитано</x:v>
      </x:c>
    </x:row>
    <x:row r="28" ht="38" customHeight="1">
      <x:c r="A28" s="7" t="str">
        <x:v>Положение локальной массы</x:v>
      </x:c>
      <x:c r="B28" s="8" t="n">
        <x:v>0.5</x:v>
      </x:c>
      <x:c r="C28" s="7" t="str">
        <x:v>доляL</x:v>
      </x:c>
      <x:c r="D28" s="7" t="str">
        <x:v>Для среднего натяжения; минимумы проверены по всем положениям</x:v>
      </x:c>
    </x:row>
    <x:row r="29" ht="38" customHeight="1">
      <x:c r="A29" s="7" t="str">
        <x:v>Среднее натяжение для сравнения</x:v>
      </x:c>
      <x:c r="B29" s="10" t="n">
        <x:v>7049.373884337331</x:v>
      </x:c>
      <x:c r="C29" s="7" t="str">
        <x:v>Н</x:v>
      </x:c>
      <x:c r="D29" s="7" t="str">
        <x:v>Получено по486 случаям исходного набора; ввод для сравнения, не настройка натяжителя</x:v>
      </x:c>
    </x:row>
    <x:row r="30" ht="38" customHeight="1">
      <x:c r="A30" s="7" t="str">
        <x:v>Ширина ленты</x:v>
      </x:c>
      <x:c r="B30" s="8" t="n">
        <x:v>500</x:v>
      </x:c>
      <x:c r="C30" s="7" t="str">
        <x:v>мм</x:v>
      </x:c>
      <x:c r="D30" s="7" t="str">
        <x:v>Подтверждено пользователем</x:v>
      </x:c>
    </x:row>
    <x:row r="31" ht="38" customHeight="1">
      <x:c r="A31" s="7" t="str">
        <x:v>Обхват сценариев</x:v>
      </x:c>
      <x:c r="B31" s="8" t="n">
        <x:v>180</x:v>
      </x:c>
      <x:c r="C31" s="7" t="str">
        <x:v>град</x:v>
      </x:c>
      <x:c r="D31" s="7" t="str">
        <x:v>Фиксированная геометрия примеров</x:v>
      </x:c>
    </x:row>
    <x:row r="32" ht="38" customHeight="1">
      <x:c r="A32" s="7" t="str">
        <x:v>Уклон сценариев</x:v>
      </x:c>
      <x:c r="B32" s="8" t="n">
        <x:v>2</x:v>
      </x:c>
      <x:c r="C32" s="7" t="str">
        <x:v>град</x:v>
      </x:c>
      <x:c r="D32" s="7" t="str">
        <x:v>Сравнение27 случаев</x:v>
      </x:c>
    </x:row>
    <x:row r="33" ht="38" customHeight="1">
      <x:c r="A33" s="7" t="str">
        <x:v>Скорость сценариев</x:v>
      </x:c>
      <x:c r="B33" s="8" t="n">
        <x:v>0.3</x:v>
      </x:c>
      <x:c r="C33" s="7" t="str">
        <x:v>м/с</x:v>
      </x:c>
      <x:c r="D33" s="7" t="str">
        <x:v>Пример</x:v>
      </x:c>
    </x:row>
    <x:row r="34" ht="38" customHeight="1">
      <x:c r="A34" s="7" t="str">
        <x:v>Разгон сценариев</x:v>
      </x:c>
      <x:c r="B34" s="8" t="n">
        <x:v>1</x:v>
      </x:c>
      <x:c r="C34" s="7" t="str">
        <x:v>с</x:v>
      </x:c>
      <x:c r="D34" s="7" t="str">
        <x:v>Пример</x:v>
      </x:c>
    </x:row>
    <x:row r="35" ht="38" customHeight="1">
      <x:c r="A35" s="7" t="str">
        <x:v>Остановка сценариев</x:v>
      </x:c>
      <x:c r="B35" s="8" t="n">
        <x:v>1</x:v>
      </x:c>
      <x:c r="C35" s="7" t="str">
        <x:v>с</x:v>
      </x:c>
      <x:c r="D35" s="7" t="str">
        <x:v>Пример</x:v>
      </x:c>
    </x:row>
    <x:row r="36" ht="31" customHeight="1">
      <x:c r="A36" s="2"/>
      <x:c r="B36" s="2"/>
      <x:c r="C36" s="2"/>
      <x:c r="D36" s="2"/>
    </x:row>
    <x:row r="37" ht="31" customHeight="1">
      <x:c r="A37" s="2"/>
      <x:c r="B37" s="2"/>
      <x:c r="C37" s="2"/>
      <x:c r="D37" s="2"/>
    </x:row>
    <x:row r="38" ht="48" customHeight="1">
      <x:c r="A38" s="7" t="str">
        <x:v>Численные c, μ, времена, шаги, массы и провисания — допущения R08. Источник ниже используется для терминов и принципов расчёта.</x:v>
      </x:c>
      <x:c r="B38" s="7"/>
      <x:c r="C38" s="7"/>
      <x:c r="D38" s="7"/>
    </x:row>
    <x:row r="39" ht="32" customHeight="1">
      <x:c r="A39" s="2" t="str">
        <x:v>https://rulmecacorp.com/bulk-handling-power-calculation-program/</x:v>
      </x:c>
      <x:c r="B39" s="2"/>
      <x:c r="C39" s="2"/>
      <x:c r="D39" s="2"/>
    </x:row>
    <x:row r="40" ht="31" customHeight="1">
      <x:c r="A40" s="2"/>
      <x:c r="B40" s="2"/>
      <x:c r="C40" s="2"/>
      <x:c r="D40" s="2"/>
    </x:row>
  </x:sheetData>
  <x:mergeCells>
    <x:mergeCell ref="A38:D38"/>
    <x:mergeCell ref="A39:D39"/>
  </x:mergeCells>
  <x:pageMargins left="0.7" right="0.7" top="0.75" bottom="0.75" header="0.3" footer="0.3"/>
</x:worksheet>
</file>