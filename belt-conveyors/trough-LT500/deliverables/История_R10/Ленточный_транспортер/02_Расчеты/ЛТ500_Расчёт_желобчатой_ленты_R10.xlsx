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d36e8c2b04a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Желоб" sheetId="1" r:id="R046166dd6cf84da5"/>
    <x:sheet xmlns:r="http://schemas.openxmlformats.org/officeDocument/2006/relationships" name="Нагрузки" sheetId="2" r:id="R4cc56381ad3a4f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00"/>
    <x:numFmt numFmtId="202" formatCode="0.000%"/>
  </x:numFmts>
  <x:fonts count="4">
    <x:font>
      <x:sz val="11"/>
      <x:name val="Carlito"/>
    </x:font>
    <x:font>
      <x:sz val="11"/>
      <x:color rgb="FF202A33"/>
      <x:name val="Arial"/>
    </x:font>
    <x:font>
      <x:b/>
      <x:sz val="15"/>
      <x:color rgb="FF202A3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C52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054fc80964116" /><Relationship Type="http://schemas.openxmlformats.org/officeDocument/2006/relationships/theme" Target="/xl/theme/theme1.xml" Id="R2a45eff5f6c64f26" /><Relationship Type="http://schemas.openxmlformats.org/officeDocument/2006/relationships/sharedStrings" Target="/xl/sharedStrings.xml" Id="R022290cde6544779" /><Relationship Type="http://schemas.openxmlformats.org/officeDocument/2006/relationships/worksheet" Target="/xl/worksheets/sheet1.xml" Id="R046166dd6cf84da5" /><Relationship Type="http://schemas.openxmlformats.org/officeDocument/2006/relationships/worksheet" Target="/xl/worksheets/sheet2.xml" Id="R4cc56381ad3a4f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4" hidden="0" customWidth="1"/>
    <x:col min="3" max="3" width="18" hidden="0" customWidth="1"/>
    <x:col min="4" max="4" width="66" hidden="0" customWidth="1"/>
  </x:cols>
  <x:sheetData>
    <x:row r="1" ht="32" customHeight="1">
      <x:c r="A1" s="2"/>
      <x:c r="B1" s="2"/>
      <x:c r="C1" s="2"/>
      <x:c r="D1" s="2"/>
    </x:row>
    <x:row r="2" ht="32" customHeight="1">
      <x:c r="A2" s="3" t="str">
        <x:v>Желобчатая лента ЛТ500 · R10</x:v>
      </x:c>
      <x:c r="B2" s="2"/>
      <x:c r="C2" s="2"/>
      <x:c r="D2" s="2"/>
    </x:row>
    <x:row r="3" ht="32" customHeight="1">
      <x:c r="A3" s="2"/>
      <x:c r="B3" s="2"/>
      <x:c r="C3" s="2"/>
      <x:c r="D3" s="2"/>
    </x:row>
    <x:row r="4" ht="54" customHeight="1">
      <x:c r="A4" s="6" t="str">
        <x:v>Результат</x:v>
      </x:c>
      <x:c r="B4" s="6" t="str">
        <x:v>Значение</x:v>
      </x:c>
      <x:c r="C4" s="6" t="str">
        <x:v>Единица</x:v>
      </x:c>
      <x:c r="D4" s="6" t="str">
        <x:v>Основание</x:v>
      </x:c>
    </x:row>
    <x:row r="5" ht="42" customHeight="1">
      <x:c r="A5" s="7" t="str">
        <x:v>Нейтральная ширина одного крыла</x:v>
      </x:c>
      <x:c r="B5" s="8" t="n">
        <x:f>(B21-B22)/2</x:f>
        <x:v>160</x:v>
      </x:c>
      <x:c r="C5" s="7" t="str">
        <x:v>мм</x:v>
      </x:c>
      <x:c r="D5" s="7" t="str">
        <x:v>Средняя часть180мм; ширина ленты500</x:v>
      </x:c>
    </x:row>
    <x:row r="6" ht="42" customHeight="1">
      <x:c r="A6" s="7" t="str">
        <x:v>Проекция нейтральной ширины</x:v>
      </x:c>
      <x:c r="B6" s="8" t="n">
        <x:f>B22+2*B5*COS($B$23*PI()/180)</x:f>
        <x:v>480.7016386514907</x:v>
      </x:c>
      <x:c r="C6" s="7" t="str">
        <x:v>мм</x:v>
      </x:c>
      <x:c r="D6" s="7" t="str">
        <x:v>Не наружный габарит опоры</x:v>
      </x:c>
    </x:row>
    <x:row r="7" ht="42" customHeight="1">
      <x:c r="A7" s="7" t="str">
        <x:v>Подъём нейтрального края</x:v>
      </x:c>
      <x:c r="B7" s="8" t="n">
        <x:f>B5*SIN($B$23*PI()/180)</x:f>
        <x:v>54.72322293210699</x:v>
      </x:c>
      <x:c r="C7" s="7" t="str">
        <x:v>мм</x:v>
      </x:c>
      <x:c r="D7" s="7" t="str">
        <x:v>От середины профиля</x:v>
      </x:c>
    </x:row>
    <x:row r="8" ht="42" customHeight="1">
      <x:c r="A8" s="7" t="str">
        <x:v>Высота верхнего края (локальная)</x:v>
      </x:c>
      <x:c r="B8" s="8" t="n">
        <x:f>B25+B7+B24/2*(COS($B$23*PI()/180)-1)</x:f>
        <x:v>854.4819934152506</x:v>
      </x:c>
      <x:c r="C8" s="7" t="str">
        <x:v>мм</x:v>
      </x:c>
      <x:c r="D8" s="7" t="str">
        <x:v>800мм условно до середины; без поправки продольного уклона</x:v>
      </x:c>
    </x:row>
    <x:row r="9" ht="42" customHeight="1">
      <x:c r="A9" s="7" t="str">
        <x:v>Площадь до края без горки</x:v>
      </x:c>
      <x:c r="B9" s="9" t="n">
        <x:f>(B15+(B8-B25)/TAN($B$23*PI()/180))*(B8-B25)/1000000</x:f>
        <x:v>0.017885208824834128</x:v>
      </x:c>
      <x:c r="C9" s="7" t="str">
        <x:v>м²</x:v>
      </x:c>
      <x:c r="D9" s="7" t="str">
        <x:v>По верхней поверхности идеального профиля</x:v>
      </x:c>
    </x:row>
    <x:row r="10" ht="42" customHeight="1">
      <x:c r="A10" s="7" t="str">
        <x:v>Площадь при запасе B29</x:v>
      </x:c>
      <x:c r="B10" s="9" t="n">
        <x:f>(B15*MAX(0,B8-B25-B29)+MAX(0,B8-B25-B29)^2/TAN($B$23*PI()/180))/1000000</x:f>
        <x:v>0.009424890242518273</x:v>
      </x:c>
      <x:c r="C10" s="7" t="str">
        <x:v>м²</x:v>
      </x:c>
      <x:c r="D10" s="7" t="str">
        <x:v>Верх материала горизонтален в сечении</x:v>
      </x:c>
    </x:row>
    <x:row r="11" ht="42" customHeight="1">
      <x:c r="A11" s="7" t="str">
        <x:v>Плотность для q до края</x:v>
      </x:c>
      <x:c r="B11" s="8" t="n">
        <x:f>B26/B9</x:f>
        <x:v>1677.3636972213674</x:v>
      </x:c>
      <x:c r="C11" s="7" t="str">
        <x:v>кг/м³</x:v>
      </x:c>
      <x:c r="D11" s="7" t="str">
        <x:v>Условие q30; без горки и без запаса</x:v>
      </x:c>
    </x:row>
    <x:row r="12" ht="42" customHeight="1">
      <x:c r="A12" s="7" t="str">
        <x:v>Грузовместимость с запасом</x:v>
      </x:c>
      <x:c r="B12" s="8" t="str">
        <x:f>IF(ISBLANK(B27),"нет плотности",B10*B27)</x:f>
        <x:v>нет плотности</x:v>
      </x:c>
      <x:c r="C12" s="7" t="str">
        <x:v>кг/м</x:v>
      </x:c>
      <x:c r="D12" s="7" t="str">
        <x:v>Реальная плотность не задана</x:v>
      </x:c>
    </x:row>
    <x:row r="13" ht="42" customHeight="1">
      <x:c r="A13" s="7" t="str">
        <x:v>Производительность с запасом</x:v>
      </x:c>
      <x:c r="B13" s="8" t="str">
        <x:f>IF(OR(ISBLANK(B27),ISBLANK(B28)),"нет исходных",3.6*B10*B27*B28)</x:f>
        <x:v>нет исходных</x:v>
      </x:c>
      <x:c r="C13" s="7" t="str">
        <x:v>т/ч</x:v>
      </x:c>
      <x:c r="D13" s="7" t="str">
        <x:v>Скорость и плотность не выбраны</x:v>
      </x:c>
    </x:row>
    <x:row r="14" ht="42" customHeight="1">
      <x:c r="A14" s="7" t="str">
        <x:v>Смещение края внутрь</x:v>
      </x:c>
      <x:c r="B14" s="8" t="n">
        <x:f>B5*(1-COS($B$23*PI()/180))</x:f>
        <x:v>9.649180674254652</x:v>
      </x:c>
      <x:c r="C14" s="7" t="str">
        <x:v>мм</x:v>
      </x:c>
      <x:c r="D14" s="7" t="str">
        <x:v>Нейтральный слой; для перехода</x:v>
      </x:c>
    </x:row>
    <x:row r="15" ht="42" customHeight="1">
      <x:c r="A15" s="7" t="str">
        <x:v>Средняя плоская часть сверху</x:v>
      </x:c>
      <x:c r="B15" s="8" t="n">
        <x:f>B22-B24*TAN($B$23*PI()/180/2)</x:f>
        <x:v>178.5893841543323</x:v>
      </x:c>
      <x:c r="C15" s="7" t="str">
        <x:v>мм</x:v>
      </x:c>
      <x:c r="D15" s="7" t="str">
        <x:v>Поправка8мм толщины в идеальных изломах</x:v>
      </x:c>
    </x:row>
    <x:row r="16" ht="60" customHeight="1">
      <x:c r="A16" s="7" t="str">
        <x:v>Угол20° — предварительный. При другой толщине/угле нужно перестроить CAD и проверить желобчатость выбранной ленты. Книга не меняет SolidWorks автоматически.</x:v>
      </x:c>
      <x:c r="B16" s="7"/>
      <x:c r="C16" s="7"/>
      <x:c r="D16" s="7"/>
    </x:row>
    <x:row r="17" ht="32" customHeight="1">
      <x:c r="A17" s="2"/>
      <x:c r="B17" s="2"/>
      <x:c r="C17" s="2"/>
      <x:c r="D17" s="2"/>
    </x:row>
    <x:row r="18" ht="32" customHeight="1">
      <x:c r="A18" s="2"/>
      <x:c r="B18" s="2"/>
      <x:c r="C18" s="2"/>
      <x:c r="D18" s="2"/>
    </x:row>
    <x:row r="19" ht="32" customHeight="1">
      <x:c r="A19" s="2"/>
      <x:c r="B19" s="2"/>
      <x:c r="C19" s="2"/>
      <x:c r="D19" s="2"/>
    </x:row>
    <x:row r="20" ht="54" customHeight="1">
      <x:c r="A20" s="6" t="str">
        <x:v>Исходный параметр</x:v>
      </x:c>
      <x:c r="B20" s="6" t="str">
        <x:v>Значение</x:v>
      </x:c>
      <x:c r="C20" s="6" t="str">
        <x:v>Единица</x:v>
      </x:c>
      <x:c r="D20" s="6" t="str">
        <x:v>Статус</x:v>
      </x:c>
    </x:row>
    <x:row r="21" ht="40" customHeight="1">
      <x:c r="A21" s="7" t="str">
        <x:v>Ширина ленты</x:v>
      </x:c>
      <x:c r="B21" s="10" t="n">
        <x:v>500</x:v>
      </x:c>
      <x:c r="C21" s="7" t="str">
        <x:v>мм</x:v>
      </x:c>
      <x:c r="D21" s="7" t="str">
        <x:v>Подтверждено</x:v>
      </x:c>
    </x:row>
    <x:row r="22" ht="40" customHeight="1">
      <x:c r="A22" s="7" t="str">
        <x:v>Средняя часть профиля</x:v>
      </x:c>
      <x:c r="B22" s="10" t="n">
        <x:v>180</x:v>
      </x:c>
      <x:c r="C22" s="7" t="str">
        <x:v>мм</x:v>
      </x:c>
      <x:c r="D22" s="7" t="str">
        <x:v>Кандидат</x:v>
      </x:c>
    </x:row>
    <x:row r="23" ht="40" customHeight="1">
      <x:c r="A23" s="7" t="str">
        <x:v>Угол боковых роликов</x:v>
      </x:c>
      <x:c r="B23" s="10" t="n">
        <x:v>20</x:v>
      </x:c>
      <x:c r="C23" s="7" t="str">
        <x:v>град</x:v>
      </x:c>
      <x:c r="D23" s="7" t="str">
        <x:v>Кандидат,0&lt;угол&lt;90</x:v>
      </x:c>
    </x:row>
    <x:row r="24" ht="40" customHeight="1">
      <x:c r="A24" s="7" t="str">
        <x:v>Толщина ленты</x:v>
      </x:c>
      <x:c r="B24" s="10" t="n">
        <x:v>8</x:v>
      </x:c>
      <x:c r="C24" s="7" t="str">
        <x:v>мм</x:v>
      </x:c>
      <x:c r="D24" s="7" t="str">
        <x:v>Допущение</x:v>
      </x:c>
    </x:row>
    <x:row r="25" ht="40" customHeight="1">
      <x:c r="A25" s="7" t="str">
        <x:v>Высота середины рабочей ленты</x:v>
      </x:c>
      <x:c r="B25" s="10" t="n">
        <x:v>800</x:v>
      </x:c>
      <x:c r="C25" s="7" t="str">
        <x:v>мм</x:v>
      </x:c>
      <x:c r="D25" s="7" t="str">
        <x:v>Ориентир, точка привязки предположена</x:v>
      </x:c>
    </x:row>
    <x:row r="26" ht="40" customHeight="1">
      <x:c r="A26" s="7" t="str">
        <x:v>q материала</x:v>
      </x:c>
      <x:c r="B26" s="10" t="n">
        <x:v>30</x:v>
      </x:c>
      <x:c r="C26" s="7" t="str">
        <x:v>кг/м</x:v>
      </x:c>
      <x:c r="D26" s="7" t="str">
        <x:v>Ориентир исходного задания</x:v>
      </x:c>
    </x:row>
    <x:row r="27" ht="40" customHeight="1">
      <x:c r="A27" s="7" t="str">
        <x:v>Фактическая насыпная плотность</x:v>
      </x:c>
      <x:c r="B27" s="10"/>
      <x:c r="C27" s="7" t="str">
        <x:v>кг/м³</x:v>
      </x:c>
      <x:c r="D27" s="7" t="str">
        <x:v>Неизвестна; заполнить после измерения</x:v>
      </x:c>
    </x:row>
    <x:row r="28" ht="40" customHeight="1">
      <x:c r="A28" s="7" t="str">
        <x:v>Фактическая скорость</x:v>
      </x:c>
      <x:c r="B28" s="10"/>
      <x:c r="C28" s="7" t="str">
        <x:v>м/с</x:v>
      </x:c>
      <x:c r="D28" s="7" t="str">
        <x:v>Не выбрана</x:v>
      </x:c>
    </x:row>
    <x:row r="29" ht="40" customHeight="1">
      <x:c r="A29" s="7" t="str">
        <x:v>Запас до края</x:v>
      </x:c>
      <x:c r="B29" s="10" t="n">
        <x:v>20</x:v>
      </x:c>
      <x:c r="C29" s="7" t="str">
        <x:v>мм</x:v>
      </x:c>
      <x:c r="D29" s="7" t="str">
        <x:v>Сценарий, не подтверждённый критерий</x:v>
      </x:c>
    </x:row>
    <x:row r="30" ht="40" customHeight="1">
      <x:c r="A30" s="7" t="str">
        <x:v>Шаг в загрузке</x:v>
      </x:c>
      <x:c r="B30" s="10" t="n">
        <x:v>0.25</x:v>
      </x:c>
      <x:c r="C30" s="7" t="str">
        <x:v>м</x:v>
      </x:c>
      <x:c r="D30" s="7" t="str">
        <x:v>Кандидат</x:v>
      </x:c>
    </x:row>
    <x:row r="31" ht="40" customHeight="1">
      <x:c r="A31" s="7" t="str">
        <x:v>Обычный шаг</x:v>
      </x:c>
      <x:c r="B31" s="10" t="n">
        <x:v>0.75</x:v>
      </x:c>
      <x:c r="C31" s="7" t="str">
        <x:v>м</x:v>
      </x:c>
      <x:c r="D31" s="7" t="str">
        <x:v>Кандидат</x:v>
      </x:c>
    </x:row>
    <x:row r="32" ht="40" customHeight="1">
      <x:c r="A32" s="7" t="str">
        <x:v>Одна локальная масса</x:v>
      </x:c>
      <x:c r="B32" s="10" t="n">
        <x:v>15</x:v>
      </x:c>
      <x:c r="C32" s="7" t="str">
        <x:v>кг</x:v>
      </x:c>
      <x:c r="D32" s="7" t="str">
        <x:v>Подтверждено; сочетание с q условно</x:v>
      </x:c>
    </x:row>
    <x:row r="33" ht="40" customHeight="1">
      <x:c r="A33" s="7" t="str">
        <x:v>q ленты</x:v>
      </x:c>
      <x:c r="B33" s="10" t="n">
        <x:v>5</x:v>
      </x:c>
      <x:c r="C33" s="7" t="str">
        <x:v>кг/м</x:v>
      </x:c>
      <x:c r="D33" s="7" t="str">
        <x:v>Допущение</x:v>
      </x:c>
    </x:row>
    <x:row r="34" ht="40" customHeight="1">
      <x:c r="A34" s="7" t="str">
        <x:v>Продольный уклон вниз</x:v>
      </x:c>
      <x:c r="B34" s="10" t="n">
        <x:v>1.5</x:v>
      </x:c>
      <x:c r="C34" s="7" t="str">
        <x:v>град</x:v>
      </x:c>
      <x:c r="D34" s="7" t="str">
        <x:v>Пример из1–2°</x:v>
      </x:c>
    </x:row>
    <x:row r="35" ht="40" customHeight="1">
      <x:c r="A35" s="7" t="str">
        <x:v>g</x:v>
      </x:c>
      <x:c r="B35" s="10" t="n">
        <x:v>9.80665</x:v>
      </x:c>
      <x:c r="C35" s="7" t="str">
        <x:v>м/с²</x:v>
      </x:c>
      <x:c r="D35" s="7" t="str">
        <x:v>Константа</x:v>
      </x:c>
    </x:row>
    <x:row r="36" ht="32" customHeight="1">
      <x:c r="A36" s="2"/>
      <x:c r="B36" s="2"/>
      <x:c r="C36" s="2"/>
      <x:c r="D36" s="2"/>
    </x:row>
    <x:row r="37" ht="32" customHeight="1">
      <x:c r="A37" s="2"/>
      <x:c r="B37" s="2"/>
      <x:c r="C37" s="2"/>
      <x:c r="D37" s="2"/>
    </x:row>
    <x:row r="38" ht="32" customHeight="1">
      <x:c r="A38" s="2"/>
      <x:c r="B38" s="2"/>
      <x:c r="C38" s="2"/>
      <x:c r="D38" s="2"/>
    </x:row>
    <x:row r="39" ht="54" customHeight="1">
      <x:c r="A39" s="6" t="str">
        <x:v>Длина перехода, мм</x:v>
      </x:c>
      <x:c r="B39" s="6" t="str">
        <x:v>ε края: нижняя граница</x:v>
      </x:c>
      <x:c r="C39" s="6" t="str">
        <x:v>Статус</x:v>
      </x:c>
      <x:c r="D39" s="6" t="str">
        <x:v>Основание</x:v>
      </x:c>
    </x:row>
    <x:row r="40" ht="32" customHeight="1">
      <x:c r="A40" s="10" t="n">
        <x:v>500</x:v>
      </x:c>
      <x:c r="B40" s="13" t="n">
        <x:f>SQRT(1+($B$7^2+$B$14^2)/A40^2)-1</x:f>
        <x:v>0.006156524236187622</x:v>
      </x:c>
      <x:c r="C40" s="7" t="str">
        <x:v>сценарий</x:v>
      </x:c>
      <x:c r="D40" s="7" t="str">
        <x:v>Не разрешённое удлинение ленты</x:v>
      </x:c>
    </x:row>
    <x:row r="41" ht="32" customHeight="1">
      <x:c r="A41" s="10" t="n">
        <x:v>750</x:v>
      </x:c>
      <x:c r="B41" s="13" t="n">
        <x:f>SQRT(1+($B$7^2+$B$14^2)/A41^2)-1</x:f>
        <x:v>0.002740899571003208</x:v>
      </x:c>
      <x:c r="C41" s="7" t="str">
        <x:v>сценарий</x:v>
      </x:c>
      <x:c r="D41" s="7" t="str">
        <x:v>Не разрешённое удлинение ленты</x:v>
      </x:c>
    </x:row>
    <x:row r="42" ht="32" customHeight="1">
      <x:c r="A42" s="10" t="n">
        <x:v>1000</x:v>
      </x:c>
      <x:c r="B42" s="13" t="n">
        <x:f>SQRT(1+($B$7^2+$B$14^2)/A42^2)-1</x:f>
        <x:v>0.001542678978665002</x:v>
      </x:c>
      <x:c r="C42" s="7" t="str">
        <x:v>сценарий</x:v>
      </x:c>
      <x:c r="D42" s="7" t="str">
        <x:v>Не разрешённое удлинение ленты</x:v>
      </x:c>
    </x:row>
    <x:row r="43" ht="32" customHeight="1">
      <x:c r="A43" s="10" t="n">
        <x:v>1500</x:v>
      </x:c>
      <x:c r="B43" s="13" t="n">
        <x:f>SQRT(1+($B$7^2+$B$14^2)/A43^2)-1</x:f>
        <x:v>0.0006859287099605371</x:v>
      </x:c>
      <x:c r="C43" s="7" t="str">
        <x:v>сценарий</x:v>
      </x:c>
      <x:c r="D43" s="7" t="str">
        <x:v>Не разрешённое удлинение ленты</x:v>
      </x:c>
    </x:row>
    <x:row r="44" ht="32" customHeight="1">
      <x:c r="A44" s="2"/>
      <x:c r="B44" s="2"/>
      <x:c r="C44" s="2"/>
      <x:c r="D44" s="2"/>
    </x:row>
    <x:row r="45" ht="60" customHeight="1">
      <x:c r="A45" s="7" t="str">
        <x:v>ε = √(1+(h²+Δz²)/Lt²)−1: только прямолинейная геометрическая нижняя граница. Реальный путь и напряжения зависят от ленты и переходных опор. Резерв750мм требует проверки поставщиком.</x:v>
      </x:c>
      <x:c r="B45" s="7"/>
      <x:c r="C45" s="7"/>
      <x:c r="D45" s="7"/>
    </x:row>
    <x:row r="46" ht="32" customHeight="1">
      <x:c r="A46" s="2"/>
      <x:c r="B46" s="2"/>
      <x:c r="C46" s="2"/>
      <x:c r="D46" s="2"/>
    </x:row>
    <x:row r="47" ht="60" customHeight="1">
      <x:c r="A47" s="7" t="str">
        <x:v>https://www.habasit.com/-/media/Project/Habasit/NewWebsite/Downloads/Products/General-conveyor-belts/Fabric-Conveyor-Belts-Engineering-Guide.pdf</x:v>
      </x:c>
      <x:c r="B47" s="7"/>
      <x:c r="C47" s="7"/>
      <x:c r="D47" s="7"/>
    </x:row>
    <x:row r="48" ht="32" customHeight="1">
      <x:c r="A48" s="2"/>
      <x:c r="B48" s="2"/>
      <x:c r="C48" s="2"/>
      <x:c r="D48" s="2"/>
    </x:row>
  </x:sheetData>
  <x:mergeCells>
    <x:mergeCell ref="A16:D16"/>
    <x:mergeCell ref="A45:D45"/>
    <x:mergeCell ref="A47:D4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Трёхроликовая опора: условные нагрузки · R10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3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60" customHeight="1">
      <x:c r="A4" s="2" t="str">
        <x:v>P ленты и материала, Н</x:v>
      </x:c>
      <x:c r="B4" s="14" t="n">
        <x:f>'Желоб'!$B$35*COS('Желоб'!$B$34*PI()/180)*(('Желоб'!$B$26+'Желоб'!$B$33)*'Желоб'!$B$31+'Желоб'!$B$32)</x:f>
        <x:v>404.3856921213264</x:v>
      </x:c>
      <x:c r="C4" s="7" t="str">
        <x:v>P — статическая нормальная к продольной линии сила на станцию: q30+qB5, шаг750мм, одна15кг порция. Поперечное распределение долей неизвестно. Вес роликов добавлен только в отдельной оценке оси.</x:v>
      </x:c>
      <x:c r="D4" s="7"/>
      <x:c r="E4" s="7"/>
      <x:c r="F4" s="7"/>
      <x:c r="G4" s="7"/>
      <x:c r="H4" s="7"/>
      <x:c r="I4" s="7"/>
      <x:c r="J4" s="7"/>
    </x:row>
    <x:row r="5" ht="60" customHeight="1">
      <x:c r="A5" s="2" t="str">
        <x:v>Угол желоба, град</x:v>
      </x:c>
      <x:c r="B5" s="2" t="n">
        <x:f>'Желоб'!$B$23</x:f>
        <x:v>20</x:v>
      </x:c>
      <x:c r="C5" s="7"/>
      <x:c r="D5" s="7"/>
      <x:c r="E5" s="7"/>
      <x:c r="F5" s="7"/>
      <x:c r="G5" s="7"/>
      <x:c r="H5" s="7"/>
      <x:c r="I5" s="7"/>
      <x:c r="J5" s="7"/>
    </x:row>
    <x:row r="6" ht="3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54" customHeight="1">
      <x:c r="A8" s="6" t="str">
        <x:v>Сценарий долей</x:v>
      </x:c>
      <x:c r="B8" s="6" t="str">
        <x:v>β центр</x:v>
      </x:c>
      <x:c r="C8" s="6" t="str">
        <x:v>β левое</x:v>
      </x:c>
      <x:c r="D8" s="6" t="str">
        <x:v>β правое</x:v>
      </x:c>
      <x:c r="E8" s="6" t="str">
        <x:v>A: N центр, Н</x:v>
      </x:c>
      <x:c r="F8" s="6" t="str">
        <x:v>A: N левое, Н</x:v>
      </x:c>
      <x:c r="G8" s="6" t="str">
        <x:v>A: N правое, Н</x:v>
      </x:c>
      <x:c r="H8" s="6" t="str">
        <x:v>A: ΣH поперечная, Н</x:v>
      </x:c>
      <x:c r="I8" s="6" t="str">
        <x:v>B: N правое, Н</x:v>
      </x:c>
      <x:c r="J8" s="6" t="str">
        <x:v>B: F осевое правое, Н</x:v>
      </x:c>
    </x:row>
    <x:row r="9" ht="45" customHeight="1">
      <x:c r="A9" s="7" t="str">
        <x:v>Симметрия 50/25/25</x:v>
      </x:c>
      <x:c r="B9" s="8" t="n">
        <x:v>0.5</x:v>
      </x:c>
      <x:c r="C9" s="8" t="n">
        <x:v>0.25</x:v>
      </x:c>
      <x:c r="D9" s="8" t="n">
        <x:v>0.25</x:v>
      </x:c>
      <x:c r="E9" s="14" t="n">
        <x:f>$B$4*B9</x:f>
        <x:v>202.1928460606632</x:v>
      </x:c>
      <x:c r="F9" s="14" t="n">
        <x:f>$B$4*C9/COS($B$5*PI()/180)</x:f>
        <x:v>107.58456626570077</x:v>
      </x:c>
      <x:c r="G9" s="14" t="n">
        <x:f>$B$4*D9/COS($B$5*PI()/180)</x:f>
        <x:v>107.58456626570077</x:v>
      </x:c>
      <x:c r="H9" s="14" t="n">
        <x:f>$B$4*(D9-C9)*TAN($B$5*PI()/180)</x:f>
        <x:v>0</x:v>
      </x:c>
      <x:c r="I9" s="14" t="n">
        <x:f>$B$4*D9*COS($B$5*PI()/180)</x:f>
        <x:v>94.99956270945316</x:v>
      </x:c>
      <x:c r="J9" s="14" t="n">
        <x:f>$B$4*D9*SIN($B$5*PI()/180)</x:f>
        <x:v>34.577013094546444</x:v>
      </x:c>
    </x:row>
    <x:row r="10" ht="45" customHeight="1">
      <x:c r="A10" s="7" t="str">
        <x:v>Равные доли</x:v>
      </x:c>
      <x:c r="B10" s="8" t="n">
        <x:v>0.3333333333333333</x:v>
      </x:c>
      <x:c r="C10" s="8" t="n">
        <x:v>0.3333333333333333</x:v>
      </x:c>
      <x:c r="D10" s="8" t="n">
        <x:v>0.3333333333333333</x:v>
      </x:c>
      <x:c r="E10" s="14" t="n">
        <x:f>$B$4*B10</x:f>
        <x:v>134.79523070710877</x:v>
      </x:c>
      <x:c r="F10" s="14" t="n">
        <x:f>$B$4*C10/COS($B$5*PI()/180)</x:f>
        <x:v>143.4460883542677</x:v>
      </x:c>
      <x:c r="G10" s="14" t="n">
        <x:f>$B$4*D10/COS($B$5*PI()/180)</x:f>
        <x:v>143.4460883542677</x:v>
      </x:c>
      <x:c r="H10" s="14" t="n">
        <x:f>$B$4*(D10-C10)*TAN($B$5*PI()/180)</x:f>
        <x:v>0</x:v>
      </x:c>
      <x:c r="I10" s="14" t="n">
        <x:f>$B$4*D10*COS($B$5*PI()/180)</x:f>
        <x:v>126.6660836126042</x:v>
      </x:c>
      <x:c r="J10" s="14" t="n">
        <x:f>$B$4*D10*SIN($B$5*PI()/180)</x:f>
        <x:v>46.102684126061924</x:v>
      </x:c>
    </x:row>
    <x:row r="11" ht="45" customHeight="1">
      <x:c r="A11" s="7" t="str">
        <x:v>Вся нагрузка на центре</x:v>
      </x:c>
      <x:c r="B11" s="8" t="n">
        <x:v>1</x:v>
      </x:c>
      <x:c r="C11" s="8" t="n">
        <x:v>0</x:v>
      </x:c>
      <x:c r="D11" s="8" t="n">
        <x:v>0</x:v>
      </x:c>
      <x:c r="E11" s="14" t="n">
        <x:f>$B$4*B11</x:f>
        <x:v>404.3856921213264</x:v>
      </x:c>
      <x:c r="F11" s="14" t="n">
        <x:f>$B$4*C11/COS($B$5*PI()/180)</x:f>
        <x:v>0</x:v>
      </x:c>
      <x:c r="G11" s="14" t="n">
        <x:f>$B$4*D11/COS($B$5*PI()/180)</x:f>
        <x:v>0</x:v>
      </x:c>
      <x:c r="H11" s="14" t="n">
        <x:f>$B$4*(D11-C11)*TAN($B$5*PI()/180)</x:f>
        <x:v>0</x:v>
      </x:c>
      <x:c r="I11" s="14" t="n">
        <x:f>$B$4*D11*COS($B$5*PI()/180)</x:f>
        <x:v>0</x:v>
      </x:c>
      <x:c r="J11" s="14" t="n">
        <x:f>$B$4*D11*SIN($B$5*PI()/180)</x:f>
        <x:v>0</x:v>
      </x:c>
    </x:row>
    <x:row r="12" ht="45" customHeight="1">
      <x:c r="A12" s="7" t="str">
        <x:v>Вся нагрузка на правом</x:v>
      </x:c>
      <x:c r="B12" s="8" t="n">
        <x:v>0</x:v>
      </x:c>
      <x:c r="C12" s="8" t="n">
        <x:v>0</x:v>
      </x:c>
      <x:c r="D12" s="8" t="n">
        <x:v>1</x:v>
      </x:c>
      <x:c r="E12" s="14" t="n">
        <x:f>$B$4*B12</x:f>
        <x:v>0</x:v>
      </x:c>
      <x:c r="F12" s="14" t="n">
        <x:f>$B$4*C12/COS($B$5*PI()/180)</x:f>
        <x:v>0</x:v>
      </x:c>
      <x:c r="G12" s="14" t="n">
        <x:f>$B$4*D12/COS($B$5*PI()/180)</x:f>
        <x:v>430.3382650628031</x:v>
      </x:c>
      <x:c r="H12" s="14" t="n">
        <x:f>$B$4*(D12-C12)*TAN($B$5*PI()/180)</x:f>
        <x:v>147.18435509529954</x:v>
      </x:c>
      <x:c r="I12" s="14" t="n">
        <x:f>$B$4*D12*COS($B$5*PI()/180)</x:f>
        <x:v>379.99825083781263</x:v>
      </x:c>
      <x:c r="J12" s="14" t="n">
        <x:f>$B$4*D12*SIN($B$5*PI()/180)</x:f>
        <x:v>138.30805237818578</x:v>
      </x:c>
    </x:row>
    <x:row r="13" ht="3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60" customHeight="1">
      <x:c r="A14" s="7" t="str">
        <x:v>Модель A: только нормальные контакты; ΣH требует поперечного равновесия ленты. Модель B: вертикальная результирующая раскладывается на нормальную и осевую части. Это две разные модели, их нельзя складывать. Реальное распределение пока не установлено.</x:v>
      </x:c>
      <x:c r="B14" s="7"/>
      <x:c r="C14" s="7"/>
      <x:c r="D14" s="7"/>
      <x:c r="E14" s="7"/>
      <x:c r="F14" s="7"/>
      <x:c r="G14" s="7"/>
      <x:c r="H14" s="7"/>
      <x:c r="I14" s="7"/>
      <x:c r="J14" s="7"/>
    </x:row>
    <x:row r="15" ht="3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3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54" customHeight="1">
      <x:c r="A17" s="6" t="str">
        <x:v>Ось: отдельная крайняя схема</x:v>
      </x:c>
      <x:c r="B17" s="6" t="str">
        <x:v>Значение</x:v>
      </x:c>
      <x:c r="C17" s="6" t="str">
        <x:v>Единица</x:v>
      </x:c>
      <x:c r="D17" s="6" t="str">
        <x:v>Ограничение</x:v>
      </x:c>
      <x:c r="E17" s="6"/>
      <x:c r="F17" s="6"/>
      <x:c r="G17" s="6"/>
      <x:c r="H17" s="6"/>
      <x:c r="I17" s="6"/>
      <x:c r="J17" s="6"/>
    </x:row>
    <x:row r="18" ht="44" customHeight="1">
      <x:c r="A18" s="7" t="str">
        <x:v>Вся сила и вес в середине</x:v>
      </x:c>
      <x:c r="B18" s="8" t="n">
        <x:f>MAX(G9:G12)+'Желоб'!$B$35*(B26+B27)</x:f>
        <x:v>453.9625174031705</x:v>
      </x:c>
      <x:c r="C18" s="7" t="str">
        <x:v>Н</x:v>
      </x:c>
      <x:c r="D18" s="7" t="str">
        <x:v>Макс. N из модели A + вес; без осевой части</x:v>
      </x:c>
      <x:c r="E18" s="2"/>
      <x:c r="F18" s="2"/>
      <x:c r="G18" s="2"/>
      <x:c r="H18" s="2"/>
      <x:c r="I18" s="2"/>
      <x:c r="J18" s="2"/>
    </x:row>
    <x:row r="19" ht="44" customHeight="1">
      <x:c r="A19" s="7" t="str">
        <x:v>Напряжение изгиба</x:v>
      </x:c>
      <x:c r="B19" s="8" t="n">
        <x:f>B18*B24/4*(B23/2)/(PI()*B23^4/64)</x:f>
        <x:v>14.205002440341291</x:v>
      </x:c>
      <x:c r="C19" s="7" t="str">
        <x:v>МПа</x:v>
      </x:c>
      <x:c r="D19" s="7" t="str">
        <x:v>Ось без ослаблений, допускаемое не задано</x:v>
      </x:c>
      <x:c r="E19" s="2"/>
      <x:c r="F19" s="2"/>
      <x:c r="G19" s="2"/>
      <x:c r="H19" s="2"/>
      <x:c r="I19" s="2"/>
      <x:c r="J19" s="2"/>
    </x:row>
    <x:row r="20" ht="44" customHeight="1">
      <x:c r="A20" s="7" t="str">
        <x:v>Прогиб</x:v>
      </x:c>
      <x:c r="B20" s="8" t="n">
        <x:f>B18*B24^3/(48*B25*(PI()*B23^4/64))</x:f>
        <x:v>0.017455106998691378</x:v>
      </x:c>
      <x:c r="C20" s="7" t="str">
        <x:v>мм</x:v>
      </x:c>
      <x:c r="D20" s="7" t="str">
        <x:v>Это не контактная и не ресурсная проверка</x:v>
      </x:c>
      <x:c r="E20" s="2"/>
      <x:c r="F20" s="2"/>
      <x:c r="G20" s="2"/>
      <x:c r="H20" s="2"/>
      <x:c r="I20" s="2"/>
      <x:c r="J20" s="2"/>
    </x:row>
    <x:row r="21" ht="3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3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44" customHeight="1">
      <x:c r="A23" s="7" t="str">
        <x:v>Диаметр оси</x:v>
      </x:c>
      <x:c r="B23" s="10" t="n">
        <x:v>25</x:v>
      </x:c>
      <x:c r="C23" s="7" t="str">
        <x:v>мм</x:v>
      </x:c>
      <x:c r="D23" s="7" t="str">
        <x:v>Кандидат</x:v>
      </x:c>
      <x:c r="E23" s="2"/>
      <x:c r="F23" s="2"/>
      <x:c r="G23" s="2"/>
      <x:c r="H23" s="2"/>
      <x:c r="I23" s="2"/>
      <x:c r="J23" s="2"/>
    </x:row>
    <x:row r="24" ht="44" customHeight="1">
      <x:c r="A24" s="7" t="str">
        <x:v>Пролёт опор оси</x:v>
      </x:c>
      <x:c r="B24" s="10" t="n">
        <x:v>192</x:v>
      </x:c>
      <x:c r="C24" s="7" t="str">
        <x:v>мм</x:v>
      </x:c>
      <x:c r="D24" s="7" t="str">
        <x:v>Новый короткий ролик</x:v>
      </x:c>
      <x:c r="E24" s="2"/>
      <x:c r="F24" s="2"/>
      <x:c r="G24" s="2"/>
      <x:c r="H24" s="2"/>
      <x:c r="I24" s="2"/>
      <x:c r="J24" s="2"/>
    </x:row>
    <x:row r="25" ht="44" customHeight="1">
      <x:c r="A25" s="7" t="str">
        <x:v>E</x:v>
      </x:c>
      <x:c r="B25" s="10" t="n">
        <x:v>200000</x:v>
      </x:c>
      <x:c r="C25" s="7" t="str">
        <x:v>МПа</x:v>
      </x:c>
      <x:c r="D25" s="7" t="str">
        <x:v>Допущение</x:v>
      </x:c>
      <x:c r="E25" s="2"/>
      <x:c r="F25" s="2"/>
      <x:c r="G25" s="2"/>
      <x:c r="H25" s="2"/>
      <x:c r="I25" s="2"/>
      <x:c r="J25" s="2"/>
    </x:row>
    <x:row r="26" ht="44" customHeight="1">
      <x:c r="A26" s="7" t="str">
        <x:v>Вращающийся узел с2подшипниками</x:v>
      </x:c>
      <x:c r="B26" s="15" t="n">
        <x:v>1.6383313652616982</x:v>
      </x:c>
      <x:c r="C26" s="7" t="str">
        <x:v>кг</x:v>
      </x:c>
      <x:c r="D26" s="7" t="str">
        <x:v>Масса геометрического кандидата R10</x:v>
      </x:c>
      <x:c r="E26" s="2"/>
      <x:c r="F26" s="2"/>
      <x:c r="G26" s="2"/>
      <x:c r="H26" s="2"/>
      <x:c r="I26" s="2"/>
      <x:c r="J26" s="2"/>
    </x:row>
    <x:row r="27" ht="44" customHeight="1">
      <x:c r="A27" s="7" t="str">
        <x:v>Ось25×200</x:v>
      </x:c>
      <x:c r="B27" s="15" t="n">
        <x:v>0.770671947833746</x:v>
      </x:c>
      <x:c r="C27" s="7" t="str">
        <x:v>кг</x:v>
      </x:c>
      <x:c r="D27" s="7" t="str">
        <x:v>Без ступеней/фиксации</x:v>
      </x:c>
      <x:c r="E27" s="2"/>
      <x:c r="F27" s="2"/>
      <x:c r="G27" s="2"/>
      <x:c r="H27" s="2"/>
      <x:c r="I27" s="2"/>
      <x:c r="J27" s="2"/>
    </x:row>
    <x:row r="28" ht="3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60" customHeight="1">
      <x:c r="A29" s="7" t="str">
        <x:v>R08/R09 — история плоской схемы. Натяжение, провис полос желобчатой ленты, трение, ресурс, раму/швы и привод требуется пересчитать. При изменении профиля массы B26/B27 необходимо обновить отдельно.</x:v>
      </x:c>
      <x:c r="B29" s="7"/>
      <x:c r="C29" s="7"/>
      <x:c r="D29" s="7"/>
      <x:c r="E29" s="7"/>
      <x:c r="F29" s="7"/>
      <x:c r="G29" s="7"/>
      <x:c r="H29" s="7"/>
      <x:c r="I29" s="7"/>
      <x:c r="J29" s="7"/>
    </x:row>
  </x:sheetData>
  <x:mergeCells>
    <x:mergeCell ref="C4:J5"/>
    <x:mergeCell ref="A14:J14"/>
    <x:mergeCell ref="A29:J29"/>
    <x:mergeCell ref="D17:J17"/>
    <x:mergeCell ref="D18:J18"/>
    <x:mergeCell ref="D19:J19"/>
    <x:mergeCell ref="D20:J20"/>
    <x:mergeCell ref="D23:J23"/>
    <x:mergeCell ref="D24:J24"/>
    <x:mergeCell ref="D25:J25"/>
    <x:mergeCell ref="D26:J26"/>
    <x:mergeCell ref="D27:J27"/>
  </x:mergeCells>
  <x:pageMargins left="0.7" right="0.7" top="0.75" bottom="0.75" header="0.3" footer="0.3"/>
</x:worksheet>
</file>