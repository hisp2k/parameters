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22baf0a0da4e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Вариант" sheetId="1" r:id="R97f037ffed8941fe"/>
    <x:sheet xmlns:r="http://schemas.openxmlformats.org/officeDocument/2006/relationships" name="Пластины" sheetId="2" r:id="Rc96cab8b7d9f4763"/>
    <x:sheet xmlns:r="http://schemas.openxmlformats.org/officeDocument/2006/relationships" name="Параметры" sheetId="3" r:id="R0a798980466248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0000000"/>
    <x:numFmt numFmtId="202" formatCode="0.0000"/>
  </x:numFmts>
  <x:fonts count="4">
    <x:font>
      <x:sz val="11"/>
      <x:name val="Carlito"/>
    </x:font>
    <x:font>
      <x:sz val="11"/>
      <x:color rgb="FF202A33"/>
      <x:name val="Arial"/>
    </x:font>
    <x:font>
      <x:b/>
      <x:sz val="15"/>
      <x:color rgb="FF202A33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63C52"/>
      </x:patternFill>
    </x:fill>
    <x:fill>
      <x:patternFill patternType="solid">
        <x:fgColor rgb="FFFFF0C2"/>
      </x:patternFill>
    </x:fill>
    <x:fill>
      <x:patternFill patternType="solid">
        <x:fgColor rgb="FFE9F2EE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6fc65502e14480" /><Relationship Type="http://schemas.openxmlformats.org/officeDocument/2006/relationships/theme" Target="/xl/theme/theme1.xml" Id="R80af9919e6a546a5" /><Relationship Type="http://schemas.openxmlformats.org/officeDocument/2006/relationships/sharedStrings" Target="/xl/sharedStrings.xml" Id="R21c5e85e8bce4ec6" /><Relationship Type="http://schemas.openxmlformats.org/officeDocument/2006/relationships/worksheet" Target="/xl/worksheets/sheet1.xml" Id="R97f037ffed8941fe" /><Relationship Type="http://schemas.openxmlformats.org/officeDocument/2006/relationships/worksheet" Target="/xl/worksheets/sheet2.xml" Id="Rc96cab8b7d9f4763" /><Relationship Type="http://schemas.openxmlformats.org/officeDocument/2006/relationships/worksheet" Target="/xl/worksheets/sheet3.xml" Id="R0a798980466248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4" hidden="0" customWidth="1"/>
    <x:col min="3" max="3" width="20" hidden="0" customWidth="1"/>
    <x:col min="4" max="4" width="22" hidden="0" customWidth="1"/>
    <x:col min="5" max="5" width="40" hidden="0" customWidth="1"/>
    <x:col min="6" max="6" width="40" hidden="0" customWidth="1"/>
  </x:cols>
  <x:sheetData>
    <x:row r="1" ht="35" customHeight="1">
      <x:c r="A1" s="2"/>
      <x:c r="B1" s="2"/>
      <x:c r="C1" s="2"/>
      <x:c r="D1" s="2"/>
      <x:c r="E1" s="2"/>
      <x:c r="F1" s="2"/>
    </x:row>
    <x:row r="2" ht="35" customHeight="1">
      <x:c r="A2" s="3" t="str">
        <x:v>Усиление опорной зоны R06 — выбранный кандидат</x:v>
      </x:c>
      <x:c r="B2" s="2"/>
      <x:c r="C2" s="2"/>
      <x:c r="D2" s="2"/>
      <x:c r="E2" s="2"/>
      <x:c r="F2" s="2"/>
    </x:row>
    <x:row r="3" ht="56" customHeight="1">
      <x:c r="A3" s="7" t="str">
        <x:v>Пластина опирается на две наружные щеки. Жёсткость верхней стенки трубы не используется в этом пути нагрузки. Условная P целиком на одну площадку; швы одной щеки проверены номинально на всю P. Не для изготовления.</x:v>
      </x:c>
      <x:c r="B3" s="7"/>
      <x:c r="C3" s="7"/>
      <x:c r="D3" s="7"/>
      <x:c r="E3" s="7"/>
      <x:c r="F3" s="7"/>
    </x:row>
    <x:row r="4" ht="35" customHeight="1">
      <x:c r="A4" s="2"/>
      <x:c r="B4" s="2"/>
      <x:c r="C4" s="2"/>
      <x:c r="D4" s="2"/>
      <x:c r="E4" s="2"/>
      <x:c r="F4" s="2"/>
    </x:row>
    <x:row r="5" ht="35" customHeight="1">
      <x:c r="A5" s="2"/>
      <x:c r="B5" s="2"/>
      <x:c r="C5" s="2"/>
      <x:c r="D5" s="2"/>
      <x:c r="E5" s="2"/>
      <x:c r="F5" s="2"/>
    </x:row>
    <x:row r="6" ht="42" customHeight="1">
      <x:c r="A6" s="7" t="str">
        <x:v>Толщина седла по центру</x:v>
      </x:c>
      <x:c r="B6" s="7"/>
      <x:c r="C6" s="12" t="n">
        <x:f>'Параметры'!B38+'Параметры'!B36/2*TAN('Параметры'!B10*PI()/180)</x:f>
        <x:v>11.309296078459347</x:v>
      </x:c>
      <x:c r="D6" s="7" t="str">
        <x:v>мм</x:v>
      </x:c>
      <x:c r="E6" s="7" t="str">
        <x:v>При текущем угле</x:v>
      </x:c>
      <x:c r="F6" s="7"/>
    </x:row>
    <x:row r="7" ht="42" customHeight="1">
      <x:c r="A7" s="7" t="str">
        <x:v>Объём одной пластины</x:v>
      </x:c>
      <x:c r="B7" s="7"/>
      <x:c r="C7" s="13" t="n">
        <x:f>'Параметры'!B11*'Параметры'!B12*'Параметры'!B13*10^-9</x:f>
        <x:v>0.00011520000000000001</x:v>
      </x:c>
      <x:c r="D7" s="7" t="str">
        <x:v>м³</x:v>
      </x:c>
      <x:c r="E7" s="7" t="str">
        <x:v>Без отверстий</x:v>
      </x:c>
      <x:c r="F7" s="7"/>
    </x:row>
    <x:row r="8" ht="42" customHeight="1">
      <x:c r="A8" s="7" t="str">
        <x:v>Объём одной щеки</x:v>
      </x:c>
      <x:c r="B8" s="7"/>
      <x:c r="C8" s="13" t="n">
        <x:f>'Параметры'!B14*'Параметры'!B15*'Параметры'!B16*10^-9</x:f>
        <x:v>0.000038400000000000005</x:v>
      </x:c>
      <x:c r="D8" s="7" t="str">
        <x:v>м³</x:v>
      </x:c>
      <x:c r="E8" s="7" t="str">
        <x:v>Геометрия заготовки</x:v>
      </x:c>
      <x:c r="F8" s="7"/>
    </x:row>
    <x:row r="9" ht="42" customHeight="1">
      <x:c r="A9" s="7" t="str">
        <x:v>Объём одного седла</x:v>
      </x:c>
      <x:c r="B9" s="7"/>
      <x:c r="C9" s="13" t="n">
        <x:f>'Параметры'!B36*'Параметры'!B37*C6*10^-9</x:f>
        <x:v>0.0000678557764707561</x:v>
      </x:c>
      <x:c r="D9" s="7" t="str">
        <x:v>м³</x:v>
      </x:c>
      <x:c r="E9" s="7" t="str">
        <x:v>Усреднённая толщина</x:v>
      </x:c>
      <x:c r="F9" s="7"/>
    </x:row>
    <x:row r="10" ht="42" customHeight="1">
      <x:c r="A10" s="7" t="str">
        <x:v>P для выбранного усиления</x:v>
      </x:c>
      <x:c r="B10" s="7"/>
      <x:c r="C10" s="12" t="n">
        <x:f>'Параметры'!B9+(2*C7+4*C8+2*C9)*'Параметры'!B7*'Параметры'!B8</x:f>
        <x:v>1458.077229486781</x:v>
      </x:c>
      <x:c r="D10" s="7" t="str">
        <x:v>Н</x:v>
      </x:c>
      <x:c r="E10" s="7" t="str">
        <x:v>Огибающая + вес 2 седел/2 пластин/4 щёк</x:v>
      </x:c>
      <x:c r="F10" s="7"/>
    </x:row>
    <x:row r="11" ht="42" customHeight="1">
      <x:c r="A11" s="7" t="str">
        <x:v>Средняя стойка</x:v>
      </x:c>
      <x:c r="B11" s="7"/>
      <x:c r="C11" s="12" t="n">
        <x:f>'Параметры'!B24-C6-'Параметры'!B13</x:f>
        <x:v>518.6907039215406</x:v>
      </x:c>
      <x:c r="D11" s="7" t="str">
        <x:v>мм</x:v>
      </x:c>
      <x:c r="E11" s="7" t="str">
        <x:v>Сохранение плоскости опирания рельса</x:v>
      </x:c>
      <x:c r="F11" s="7"/>
    </x:row>
    <x:row r="12" ht="42" customHeight="1">
      <x:c r="A12" s="7" t="str">
        <x:v>Объём опоры</x:v>
      </x:c>
      <x:c r="B12" s="7"/>
      <x:c r="C12" s="13" t="n">
        <x:f>('Параметры'!B32*'Параметры'!B31+2*'Параметры'!B33*C11+2*'Параметры'!B29*'Параметры'!B30*'Параметры'!B28)*10^-9+2*C7+4*C8+2*C9</x:f>
        <x:v>0.0023031087929445367</x:v>
      </x:c>
      <x:c r="D12" s="7" t="str">
        <x:v>м³</x:v>
      </x:c>
      <x:c r="E12" s="7" t="str">
        <x:v>13 тел, без швов и крепежа</x:v>
      </x:c>
      <x:c r="F12" s="7"/>
    </x:row>
    <x:row r="13" ht="42" customHeight="1">
      <x:c r="A13" s="7" t="str">
        <x:v>Масса опоры</x:v>
      </x:c>
      <x:c r="B13" s="7"/>
      <x:c r="C13" s="12" t="n">
        <x:f>C12*'Параметры'!B7</x:f>
        <x:v>18.079404024614615</x:v>
      </x:c>
      <x:c r="D13" s="7" t="str">
        <x:v>кг</x:v>
      </x:c>
      <x:c r="E13" s="7" t="str">
        <x:v>Не масса транспортёра</x:v>
      </x:c>
      <x:c r="F13" s="7"/>
    </x:row>
    <x:row r="14" ht="42" customHeight="1">
      <x:c r="A14" s="7" t="str">
        <x:v>Масса с 4 отрезками рельса</x:v>
      </x:c>
      <x:c r="B14" s="7"/>
      <x:c r="C14" s="12" t="n">
        <x:f>(C12+4*'Параметры'!B34*'Параметры'!B35*10^-9)*'Параметры'!B7</x:f>
        <x:v>25.99995670012864</x:v>
      </x:c>
      <x:c r="D14" s="7" t="str">
        <x:v>кг</x:v>
      </x:c>
      <x:c r="E14" s="7" t="str">
        <x:v>Справочная геометрия</x:v>
      </x:c>
      <x:c r="F14" s="7"/>
    </x:row>
    <x:row r="15" ht="42" customHeight="1">
      <x:c r="A15" s="7" t="str">
        <x:v>Пролёт по осям щёк</x:v>
      </x:c>
      <x:c r="B15" s="7"/>
      <x:c r="C15" s="12" t="n">
        <x:f>'Параметры'!B40</x:f>
        <x:v>106</x:v>
      </x:c>
      <x:c r="D15" s="7" t="str">
        <x:v>мм</x:v>
      </x:c>
      <x:c r="E15" s="7" t="str">
        <x:v>Средние линии опор</x:v>
      </x:c>
      <x:c r="F15" s="7"/>
    </x:row>
    <x:row r="16" ht="42" customHeight="1">
      <x:c r="A16" s="7" t="str">
        <x:v>Прогиб пластины по осям</x:v>
      </x:c>
      <x:c r="B16" s="7"/>
      <x:c r="C16" s="12" t="n">
        <x:f>IF(OR(ISBLANK('Параметры'!B6),'Параметры'!B6&lt;=0),"нет E",C10*C15^3/(48*'Параметры'!B6*('Параметры'!B39*'Параметры'!B13^3/12)))</x:f>
        <x:v>0.033058321712704605</x:v>
      </x:c>
      <x:c r="D16" s="7" t="str">
        <x:v>мм</x:v>
      </x:c>
      <x:c r="E16" s="7" t="str">
        <x:v>Сосредоточенная сила по центру</x:v>
      </x:c>
      <x:c r="F16" s="7"/>
    </x:row>
    <x:row r="17" ht="42" customHeight="1">
      <x:c r="A17" s="7" t="str">
        <x:v>Прогиб при наружном пролёте</x:v>
      </x:c>
      <x:c r="B17" s="7"/>
      <x:c r="C17" s="12" t="n">
        <x:f>IF(OR(ISBLANK('Параметры'!B6),'Параметры'!B6&lt;=0),"нет E",C10*'Параметры'!B41^3/(48*'Параметры'!B6*('Параметры'!B39*'Параметры'!B13^3/12)))</x:f>
        <x:v>0.03899574968529949</x:v>
      </x:c>
      <x:c r="D17" s="7" t="str">
        <x:v>мм</x:v>
      </x:c>
      <x:c r="E17" s="7" t="str">
        <x:v>Геометрическая чувствительность</x:v>
      </x:c>
      <x:c r="F17" s="7"/>
    </x:row>
    <x:row r="18" ht="42" customHeight="1">
      <x:c r="A18" s="7" t="str">
        <x:v>σ пластины по осям</x:v>
      </x:c>
      <x:c r="B18" s="7"/>
      <x:c r="C18" s="12" t="n">
        <x:f>6*(C10*C15/4)/('Параметры'!B39*'Параметры'!B13^2)</x:f>
        <x:v>42.36737563749967</x:v>
      </x:c>
      <x:c r="D18" s="7" t="str">
        <x:v>МПа</x:v>
      </x:c>
      <x:c r="E18" s="7" t="str">
        <x:v>Допускаемое напряжение отсутствует</x:v>
      </x:c>
      <x:c r="F18" s="7"/>
    </x:row>
    <x:row r="19" ht="42" customHeight="1">
      <x:c r="A19" s="7" t="str">
        <x:v>Прогиб седла при пролёте 100</x:v>
      </x:c>
      <x:c r="B19" s="7"/>
      <x:c r="C19" s="12" t="n">
        <x:f>IF(OR(ISBLANK('Параметры'!B6),'Параметры'!B6&lt;=0),"нет E",C10*'Параметры'!B36^3/(48*'Параметры'!B6*('Параметры'!B39*'Параметры'!B38^3/12)))</x:f>
        <x:v>0.04796306675943359</x:v>
      </x:c>
      <x:c r="D19" s="7" t="str">
        <x:v>мм</x:v>
      </x:c>
      <x:c r="E19" s="7" t="str">
        <x:v>Частичная верхняя оценка</x:v>
      </x:c>
      <x:c r="F19" s="7"/>
    </x:row>
    <x:row r="20" ht="42" customHeight="1">
      <x:c r="A20" s="7" t="str">
        <x:v>Горло идеального шва</x:v>
      </x:c>
      <x:c r="B20" s="7"/>
      <x:c r="C20" s="12" t="n">
        <x:f>'Параметры'!B21/SQRT(2)</x:f>
        <x:v>2.1213203435596424</x:v>
      </x:c>
      <x:c r="D20" s="7" t="str">
        <x:v>мм</x:v>
      </x:c>
      <x:c r="E20" s="7" t="str">
        <x:v>k / √2</x:v>
      </x:c>
      <x:c r="F20" s="7"/>
    </x:row>
    <x:row r="21" ht="42" customHeight="1">
      <x:c r="A21" s="7" t="str">
        <x:v>Площадь 2 швов одной щеки</x:v>
      </x:c>
      <x:c r="B21" s="7"/>
      <x:c r="C21" s="12" t="n">
        <x:f>2*C20*'Параметры'!B22</x:f>
        <x:v>229.10259710444137</x:v>
      </x:c>
      <x:c r="D21" s="7" t="str">
        <x:v>мм²</x:v>
      </x:c>
      <x:c r="E21" s="7" t="str">
        <x:v>Две линии длиной по 54 мм</x:v>
      </x:c>
      <x:c r="F21" s="7"/>
    </x:row>
    <x:row r="22" ht="42" customHeight="1">
      <x:c r="A22" s="7" t="str">
        <x:v>τ двух швов</x:v>
      </x:c>
      <x:c r="B22" s="7"/>
      <x:c r="C22" s="12" t="n">
        <x:f>C10/C21</x:f>
        <x:v>6.364298126319734</x:v>
      </x:c>
      <x:c r="D22" s="7" t="str">
        <x:v>МПа</x:v>
      </x:c>
      <x:c r="E22" s="7" t="str">
        <x:v>Вся P на одну щеку</x:v>
      </x:c>
      <x:c r="F22" s="7"/>
    </x:row>
    <x:row r="23" ht="42" customHeight="1">
      <x:c r="A23" s="7" t="str">
        <x:v>I группы швов</x:v>
      </x:c>
      <x:c r="B23" s="7"/>
      <x:c r="C23" s="12" t="n">
        <x:f>2*C20*'Параметры'!B22^3/12</x:f>
        <x:v>55671.93109637926</x:v>
      </x:c>
      <x:c r="D23" s="7" t="str">
        <x:v>мм⁴</x:v>
      </x:c>
      <x:c r="E23" s="7" t="str">
        <x:v>Для момента от эксцентриситета</x:v>
      </x:c>
      <x:c r="F23" s="7"/>
    </x:row>
    <x:row r="24" ht="42" customHeight="1">
      <x:c r="A24" s="7" t="str">
        <x:v>σ номинальное швов</x:v>
      </x:c>
      <x:c r="B24" s="7"/>
      <x:c r="C24" s="12" t="n">
        <x:f>C10*'Параметры'!B23*'Параметры'!B22/2/C23</x:f>
        <x:v>2.1214327087732445</x:v>
      </x:c>
      <x:c r="D24" s="7" t="str">
        <x:v>МПа</x:v>
      </x:c>
      <x:c r="E24" s="7" t="str">
        <x:v>M=P·tщеки/2</x:v>
      </x:c>
      <x:c r="F24" s="7"/>
    </x:row>
    <x:row r="25" ht="42" customHeight="1">
      <x:c r="A25" s="7" t="str">
        <x:v>Эквивалентное номинальное</x:v>
      </x:c>
      <x:c r="B25" s="7"/>
      <x:c r="C25" s="12" t="n">
        <x:f>SQRT(C24^2+3*C22^2)</x:f>
        <x:v>11.225566741144236</x:v>
      </x:c>
      <x:c r="D25" s="7" t="str">
        <x:v>МПа</x:v>
      </x:c>
      <x:c r="E25" s="7" t="str">
        <x:v>√(σ²+3τ²), не нормативный допуск</x:v>
      </x:c>
      <x:c r="F25" s="7"/>
    </x:row>
    <x:row r="26" ht="42" customHeight="1">
      <x:c r="A26" s="7" t="str">
        <x:v>Скатывающая составляющая</x:v>
      </x:c>
      <x:c r="B26" s="7"/>
      <x:c r="C26" s="12" t="n">
        <x:f>C10*SIN('Параметры'!B42*PI()/180)</x:f>
        <x:v>50.886161462465665</x:v>
      </x:c>
      <x:c r="D26" s="7" t="str">
        <x:v>Н</x:v>
      </x:c>
      <x:c r="E26" s="7" t="str">
        <x:v>Без неизвестной тяги ленты</x:v>
      </x:c>
      <x:c r="F26" s="7"/>
    </x:row>
    <x:row r="27" ht="35" customHeight="1">
      <x:c r="A27" s="2"/>
      <x:c r="B27" s="2"/>
      <x:c r="C27" s="2"/>
      <x:c r="D27" s="2"/>
      <x:c r="E27" s="2"/>
      <x:c r="F27" s="2"/>
    </x:row>
    <x:row r="28" ht="35" customHeight="1">
      <x:c r="A28" s="2"/>
      <x:c r="B28" s="2"/>
      <x:c r="C28" s="2"/>
      <x:c r="D28" s="2"/>
      <x:c r="E28" s="2"/>
      <x:c r="F28" s="2"/>
    </x:row>
    <x:row r="29" ht="48" customHeight="1">
      <x:c r="A29" s="6" t="str">
        <x:v>Ось, мм</x:v>
      </x:c>
      <x:c r="B29" s="6" t="str">
        <x:v>Лента, мм</x:v>
      </x:c>
      <x:c r="C29" s="6" t="str">
        <x:v>Верх трубы, мм</x:v>
      </x:c>
      <x:c r="D29" s="6" t="str">
        <x:v>Верх пластины, мм</x:v>
      </x:c>
      <x:c r="E29" s="6" t="str">
        <x:v>Стойка, мм</x:v>
      </x:c>
      <x:c r="F29" s="2"/>
    </x:row>
    <x:row r="30" ht="35" customHeight="1">
      <x:c r="A30" s="10" t="n">
        <x:v>200</x:v>
      </x:c>
      <x:c r="B30" s="10" t="n">
        <x:f>'Параметры'!B25+(5000-A30)*TAN('Параметры'!B10*PI()/180)</x:f>
        <x:v>925.6924235320972</x:v>
      </x:c>
      <x:c r="C30" s="10" t="n">
        <x:f>B30-'Параметры'!B26-$C$6-'Параметры'!B13</x:f>
        <x:v>732.3831274536378</x:v>
      </x:c>
      <x:c r="D30" s="10" t="n">
        <x:f>C30+'Параметры'!B13</x:f>
        <x:v>744.3831274536378</x:v>
      </x:c>
      <x:c r="E30" s="10" t="n">
        <x:f>C30-'Параметры'!B27-'Параметры'!B28</x:f>
        <x:v>644.3831274536378</x:v>
      </x:c>
      <x:c r="F30" s="2"/>
    </x:row>
    <x:row r="31" ht="35" customHeight="1">
      <x:c r="A31" s="10" t="n">
        <x:v>2600</x:v>
      </x:c>
      <x:c r="B31" s="10" t="n">
        <x:f>'Параметры'!B25+(5000-A31)*TAN('Параметры'!B10*PI()/180)</x:f>
        <x:v>862.8462117660487</x:v>
      </x:c>
      <x:c r="C31" s="10" t="n">
        <x:f>B31-'Параметры'!B26-$C$6-'Параметры'!B13</x:f>
        <x:v>669.5369156875893</x:v>
      </x:c>
      <x:c r="D31" s="10" t="n">
        <x:f>C31+'Параметры'!B13</x:f>
        <x:v>681.5369156875893</x:v>
      </x:c>
      <x:c r="E31" s="10" t="n">
        <x:f>C31-'Параметры'!B27-'Параметры'!B28</x:f>
        <x:v>581.5369156875893</x:v>
      </x:c>
      <x:c r="F31" s="2"/>
    </x:row>
    <x:row r="32" ht="35" customHeight="1">
      <x:c r="A32" s="10" t="n">
        <x:v>5000</x:v>
      </x:c>
      <x:c r="B32" s="10" t="n">
        <x:f>'Параметры'!B25+(5000-A32)*TAN('Параметры'!B10*PI()/180)</x:f>
        <x:v>800</x:v>
      </x:c>
      <x:c r="C32" s="10" t="n">
        <x:f>B32-'Параметры'!B26-$C$6-'Параметры'!B13</x:f>
        <x:v>606.6907039215406</x:v>
      </x:c>
      <x:c r="D32" s="10" t="n">
        <x:f>C32+'Параметры'!B13</x:f>
        <x:v>618.6907039215406</x:v>
      </x:c>
      <x:c r="E32" s="10" t="n">
        <x:f>C32-'Параметры'!B27-'Параметры'!B28</x:f>
        <x:v>518.6907039215406</x:v>
      </x:c>
      <x:c r="F32" s="2"/>
    </x:row>
    <x:row r="33" ht="35" customHeight="1">
      <x:c r="A33" s="10" t="n">
        <x:v>7400</x:v>
      </x:c>
      <x:c r="B33" s="10" t="n">
        <x:f>'Параметры'!B25+(5000-A33)*TAN('Параметры'!B10*PI()/180)</x:f>
        <x:v>737.1537882339513</x:v>
      </x:c>
      <x:c r="C33" s="10" t="n">
        <x:f>B33-'Параметры'!B26-$C$6-'Параметры'!B13</x:f>
        <x:v>543.8444921554919</x:v>
      </x:c>
      <x:c r="D33" s="10" t="n">
        <x:f>C33+'Параметры'!B13</x:f>
        <x:v>555.8444921554919</x:v>
      </x:c>
      <x:c r="E33" s="10" t="n">
        <x:f>C33-'Параметры'!B27-'Параметры'!B28</x:f>
        <x:v>455.84449215549193</x:v>
      </x:c>
      <x:c r="F33" s="2"/>
    </x:row>
    <x:row r="34" ht="35" customHeight="1">
      <x:c r="A34" s="10" t="n">
        <x:v>9800</x:v>
      </x:c>
      <x:c r="B34" s="10" t="n">
        <x:f>'Параметры'!B25+(5000-A34)*TAN('Параметры'!B10*PI()/180)</x:f>
        <x:v>674.3075764679028</x:v>
      </x:c>
      <x:c r="C34" s="10" t="n">
        <x:f>B34-'Параметры'!B26-$C$6-'Параметры'!B13</x:f>
        <x:v>480.99828038944344</x:v>
      </x:c>
      <x:c r="D34" s="10" t="n">
        <x:f>C34+'Параметры'!B13</x:f>
        <x:v>492.99828038944344</x:v>
      </x:c>
      <x:c r="E34" s="10" t="n">
        <x:f>C34-'Параметры'!B27-'Параметры'!B28</x:f>
        <x:v>392.99828038944344</x:v>
      </x:c>
      <x:c r="F34" s="2"/>
    </x:row>
    <x:row r="35" ht="35" customHeight="1">
      <x:c r="A35" s="2"/>
      <x:c r="B35" s="2"/>
      <x:c r="C35" s="2"/>
      <x:c r="D35" s="2"/>
      <x:c r="E35" s="2"/>
      <x:c r="F35" s="2"/>
    </x:row>
    <x:row r="36" ht="56" customHeight="1">
      <x:c r="A36" s="7" t="str">
        <x:v>Швы-кандидаты, материал/допуски, контакт, фиксация седла, продольные усилия ленты, связи и основание не утверждены. Модель CAD фиксирована и не изменяется вместе с Excel.</x:v>
      </x:c>
      <x:c r="B36" s="7"/>
      <x:c r="C36" s="7"/>
      <x:c r="D36" s="7"/>
      <x:c r="E36" s="7"/>
      <x:c r="F36" s="7"/>
    </x:row>
    <x:row r="37" ht="35" customHeight="1">
      <x:c r="A37" s="2"/>
      <x:c r="B37" s="2"/>
      <x:c r="C37" s="2"/>
      <x:c r="D37" s="2"/>
      <x:c r="E37" s="2"/>
      <x:c r="F37" s="2"/>
    </x:row>
    <x:row r="38" ht="35" customHeight="1">
      <x:c r="A38" s="2"/>
      <x:c r="B38" s="2"/>
      <x:c r="C38" s="2"/>
      <x:c r="D38" s="2"/>
      <x:c r="E38" s="2"/>
      <x:c r="F38" s="2"/>
    </x:row>
    <x:row r="39" ht="35" customHeight="1">
      <x:c r="A39" s="2"/>
      <x:c r="B39" s="2"/>
      <x:c r="C39" s="2"/>
      <x:c r="D39" s="2"/>
      <x:c r="E39" s="2"/>
      <x:c r="F39" s="2"/>
    </x:row>
  </x:sheetData>
  <x:mergeCells>
    <x:mergeCell ref="A2:F2"/>
    <x:mergeCell ref="A3:F3"/>
    <x:mergeCell ref="A6:B6"/>
    <x:mergeCell ref="E6:F6"/>
    <x:mergeCell ref="A7:B7"/>
    <x:mergeCell ref="E7:F7"/>
    <x:mergeCell ref="A8:B8"/>
    <x:mergeCell ref="E8:F8"/>
    <x:mergeCell ref="A9:B9"/>
    <x:mergeCell ref="E9:F9"/>
    <x:mergeCell ref="A10:B10"/>
    <x:mergeCell ref="E10:F10"/>
    <x:mergeCell ref="A11:B11"/>
    <x:mergeCell ref="E11:F11"/>
    <x:mergeCell ref="A12:B12"/>
    <x:mergeCell ref="E12:F12"/>
    <x:mergeCell ref="A13:B13"/>
    <x:mergeCell ref="E13:F13"/>
    <x:mergeCell ref="A14:B14"/>
    <x:mergeCell ref="E14:F14"/>
    <x:mergeCell ref="A15:B15"/>
    <x:mergeCell ref="E15:F15"/>
    <x:mergeCell ref="A16:B16"/>
    <x:mergeCell ref="E16:F16"/>
    <x:mergeCell ref="A17:B17"/>
    <x:mergeCell ref="E17:F17"/>
    <x:mergeCell ref="A18:B18"/>
    <x:mergeCell ref="E18:F18"/>
    <x:mergeCell ref="A19:B19"/>
    <x:mergeCell ref="E19:F19"/>
    <x:mergeCell ref="A20:B20"/>
    <x:mergeCell ref="E20:F20"/>
    <x:mergeCell ref="A21:B21"/>
    <x:mergeCell ref="E21:F21"/>
    <x:mergeCell ref="A22:B22"/>
    <x:mergeCell ref="E22:F22"/>
    <x:mergeCell ref="A23:B23"/>
    <x:mergeCell ref="E23:F23"/>
    <x:mergeCell ref="A24:B24"/>
    <x:mergeCell ref="E24:F24"/>
    <x:mergeCell ref="A25:B25"/>
    <x:mergeCell ref="E25:F25"/>
    <x:mergeCell ref="A26:B26"/>
    <x:mergeCell ref="E26:F26"/>
    <x:mergeCell ref="A36:F3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1" hidden="0" customWidth="1"/>
    <x:col min="4" max="4" width="23" hidden="0" customWidth="1"/>
    <x:col min="5" max="5" width="22" hidden="0" customWidth="1"/>
    <x:col min="6" max="6" width="24" hidden="0" customWidth="1"/>
    <x:col min="7" max="7" width="22" hidden="0" customWidth="1"/>
    <x:col min="8" max="8" width="26" hidden="0" customWidth="1"/>
  </x:cols>
  <x:sheetData>
    <x:row r="1" ht="35" customHeight="1">
      <x:c r="A1" s="2"/>
      <x:c r="B1" s="2"/>
      <x:c r="C1" s="2"/>
      <x:c r="D1" s="2"/>
      <x:c r="E1" s="2"/>
      <x:c r="F1" s="2"/>
      <x:c r="G1" s="2"/>
      <x:c r="H1" s="2"/>
    </x:row>
    <x:row r="2" ht="35" customHeight="1">
      <x:c r="A2" s="3" t="str">
        <x:v>Сравнение 36 вариантов пластины усиления</x:v>
      </x:c>
      <x:c r="B2" s="2"/>
      <x:c r="C2" s="2"/>
      <x:c r="D2" s="2"/>
      <x:c r="E2" s="2"/>
      <x:c r="F2" s="2"/>
      <x:c r="G2" s="2"/>
      <x:c r="H2" s="2"/>
    </x:row>
    <x:row r="3" ht="56" customHeight="1">
      <x:c r="A3" s="7" t="str">
        <x:v>P включает вес усиливающих деталей для соответствующей толщины пластины. Изгиб отдельной полосы с шарнирным опиранием на щеках, без вклада трубы. Прогиб ≤0,05 мм — предлагаемый ориентир, не проверка прочности.</x:v>
      </x:c>
      <x:c r="B3" s="7"/>
      <x:c r="C3" s="7"/>
      <x:c r="D3" s="7"/>
      <x:c r="E3" s="7"/>
      <x:c r="F3" s="7"/>
      <x:c r="G3" s="7"/>
      <x:c r="H3" s="7"/>
    </x:row>
    <x:row r="4" ht="35" customHeight="1">
      <x:c r="A4" s="2"/>
      <x:c r="B4" s="2"/>
      <x:c r="C4" s="2"/>
      <x:c r="D4" s="2"/>
      <x:c r="E4" s="2"/>
      <x:c r="F4" s="2"/>
      <x:c r="G4" s="2"/>
      <x:c r="H4" s="2"/>
    </x:row>
    <x:row r="5" ht="48" customHeight="1">
      <x:c r="A5" s="6" t="str">
        <x:v>t, мм</x:v>
      </x:c>
      <x:c r="B5" s="6" t="str">
        <x:v>Пролёт, мм</x:v>
      </x:c>
      <x:c r="C5" s="6" t="str">
        <x:v>Эффективная ширина, мм</x:v>
      </x:c>
      <x:c r="D5" s="6" t="str">
        <x:v>P, Н</x:v>
      </x:c>
      <x:c r="E5" s="6" t="str">
        <x:v>σ, МПа</x:v>
      </x:c>
      <x:c r="F5" s="6" t="str">
        <x:v>δ, мм</x:v>
      </x:c>
      <x:c r="G5" s="6" t="str">
        <x:v>δ ≤ ориентир</x:v>
      </x:c>
      <x:c r="H5" s="6" t="str">
        <x:v>Масса 2 пластин, кг</x:v>
      </x:c>
    </x:row>
    <x:row r="6" ht="35" customHeight="1">
      <x:c r="A6" s="15" t="n">
        <x:v>6</x:v>
      </x:c>
      <x:c r="B6" s="15" t="n">
        <x:v>100</x:v>
      </x:c>
      <x:c r="C6" s="15" t="n">
        <x:v>38</x:v>
      </x:c>
      <x:c r="D6" s="14" t="n">
        <x:f>'Параметры'!B9+(2*'Параметры'!B11*'Параметры'!B12*A6*10^-9+4*'Вариант'!C8+2*'Вариант'!C9)*'Параметры'!B7*'Параметры'!B8</x:f>
        <x:v>1449.2088797587812</x:v>
      </x:c>
      <x:c r="E6" s="14" t="n">
        <x:f>6*(D6*B6/4)/(C6*A6^2)</x:f>
        <x:v>158.90448242969092</x:v>
      </x:c>
      <x:c r="F6" s="14" t="n">
        <x:f>IF(OR(ISBLANK('Параметры'!B6),'Параметры'!B6&lt;=0),"нет E",D6*B6^3/(48*'Параметры'!B6*(C6*A6^3/12)))</x:f>
        <x:v>0.2207006700412374</x:v>
      </x:c>
      <x:c r="G6" s="2" t="str">
        <x:f>IF(ISNUMBER(F6),IF(F6&lt;='Параметры'!B20,"да","нет"),"не задано")</x:f>
        <x:v>нет</x:v>
      </x:c>
      <x:c r="H6" s="10" t="n">
        <x:f>2*'Параметры'!B11*'Параметры'!B12*A6*10^-9*'Параметры'!B7</x:f>
        <x:v>0.90432</x:v>
      </x:c>
    </x:row>
    <x:row r="7" ht="35" customHeight="1">
      <x:c r="A7" s="15" t="n">
        <x:v>6</x:v>
      </x:c>
      <x:c r="B7" s="15" t="n">
        <x:v>100</x:v>
      </x:c>
      <x:c r="C7" s="15" t="n">
        <x:v>60</x:v>
      </x:c>
      <x:c r="D7" s="14" t="n">
        <x:f>'Параметры'!B9+(2*'Параметры'!B11*'Параметры'!B12*A7*10^-9+4*'Вариант'!C8+2*'Вариант'!C9)*'Параметры'!B7*'Параметры'!B8</x:f>
        <x:v>1449.2088797587812</x:v>
      </x:c>
      <x:c r="E7" s="14" t="n">
        <x:f>6*(D7*B7/4)/(C7*A7^2)</x:f>
        <x:v>100.63950553880424</x:v>
      </x:c>
      <x:c r="F7" s="14" t="n">
        <x:f>IF(OR(ISBLANK('Параметры'!B6),'Параметры'!B6&lt;=0),"нет E",D7*B7^3/(48*'Параметры'!B6*(C7*A7^3/12)))</x:f>
        <x:v>0.13977709102611702</x:v>
      </x:c>
      <x:c r="G7" s="2" t="str">
        <x:f>IF(ISNUMBER(F7),IF(F7&lt;='Параметры'!B20,"да","нет"),"не задано")</x:f>
        <x:v>нет</x:v>
      </x:c>
      <x:c r="H7" s="10" t="n">
        <x:f>2*'Параметры'!B11*'Параметры'!B12*A7*10^-9*'Параметры'!B7</x:f>
        <x:v>0.90432</x:v>
      </x:c>
    </x:row>
    <x:row r="8" ht="35" customHeight="1">
      <x:c r="A8" s="15" t="n">
        <x:v>6</x:v>
      </x:c>
      <x:c r="B8" s="15" t="n">
        <x:v>100</x:v>
      </x:c>
      <x:c r="C8" s="15" t="n">
        <x:v>80</x:v>
      </x:c>
      <x:c r="D8" s="14" t="n">
        <x:f>'Параметры'!B9+(2*'Параметры'!B11*'Параметры'!B12*A8*10^-9+4*'Вариант'!C8+2*'Вариант'!C9)*'Параметры'!B7*'Параметры'!B8</x:f>
        <x:v>1449.2088797587812</x:v>
      </x:c>
      <x:c r="E8" s="14" t="n">
        <x:f>6*(D8*B8/4)/(C8*A8^2)</x:f>
        <x:v>75.4796291541032</x:v>
      </x:c>
      <x:c r="F8" s="14" t="n">
        <x:f>IF(OR(ISBLANK('Параметры'!B6),'Параметры'!B6&lt;=0),"нет E",D8*B8^3/(48*'Параметры'!B6*(C8*A8^3/12)))</x:f>
        <x:v>0.10483281826958776</x:v>
      </x:c>
      <x:c r="G8" s="2" t="str">
        <x:f>IF(ISNUMBER(F8),IF(F8&lt;='Параметры'!B20,"да","нет"),"не задано")</x:f>
        <x:v>нет</x:v>
      </x:c>
      <x:c r="H8" s="10" t="n">
        <x:f>2*'Параметры'!B11*'Параметры'!B12*A8*10^-9*'Параметры'!B7</x:f>
        <x:v>0.90432</x:v>
      </x:c>
    </x:row>
    <x:row r="9" ht="35" customHeight="1">
      <x:c r="A9" s="15" t="n">
        <x:v>6</x:v>
      </x:c>
      <x:c r="B9" s="15" t="n">
        <x:v>106</x:v>
      </x:c>
      <x:c r="C9" s="15" t="n">
        <x:v>38</x:v>
      </x:c>
      <x:c r="D9" s="14" t="n">
        <x:f>'Параметры'!B9+(2*'Параметры'!B11*'Параметры'!B12*A9*10^-9+4*'Вариант'!C8+2*'Вариант'!C9)*'Параметры'!B7*'Параметры'!B8</x:f>
        <x:v>1449.2088797587812</x:v>
      </x:c>
      <x:c r="E9" s="14" t="n">
        <x:f>6*(D9*B9/4)/(C9*A9^2)</x:f>
        <x:v>168.43875137547238</x:v>
      </x:c>
      <x:c r="F9" s="14" t="n">
        <x:f>IF(OR(ISBLANK('Параметры'!B6),'Параметры'!B6&lt;=0),"нет E",D9*B9^3/(48*'Параметры'!B6*(C9*A9^3/12)))</x:f>
        <x:v>0.26285802922983437</x:v>
      </x:c>
      <x:c r="G9" s="2" t="str">
        <x:f>IF(ISNUMBER(F9),IF(F9&lt;='Параметры'!B20,"да","нет"),"не задано")</x:f>
        <x:v>нет</x:v>
      </x:c>
      <x:c r="H9" s="10" t="n">
        <x:f>2*'Параметры'!B11*'Параметры'!B12*A9*10^-9*'Параметры'!B7</x:f>
        <x:v>0.90432</x:v>
      </x:c>
    </x:row>
    <x:row r="10" ht="35" customHeight="1">
      <x:c r="A10" s="15" t="n">
        <x:v>6</x:v>
      </x:c>
      <x:c r="B10" s="15" t="n">
        <x:v>106</x:v>
      </x:c>
      <x:c r="C10" s="15" t="n">
        <x:v>60</x:v>
      </x:c>
      <x:c r="D10" s="14" t="n">
        <x:f>'Параметры'!B9+(2*'Параметры'!B11*'Параметры'!B12*A10*10^-9+4*'Вариант'!C8+2*'Вариант'!C9)*'Параметры'!B7*'Параметры'!B8</x:f>
        <x:v>1449.2088797587812</x:v>
      </x:c>
      <x:c r="E10" s="14" t="n">
        <x:f>6*(D10*B10/4)/(C10*A10^2)</x:f>
        <x:v>106.67787587113251</x:v>
      </x:c>
      <x:c r="F10" s="14" t="n">
        <x:f>IF(OR(ISBLANK('Параметры'!B6),'Параметры'!B6&lt;=0),"нет E",D10*B10^3/(48*'Параметры'!B6*(C10*A10^3/12)))</x:f>
        <x:v>0.16647675184556177</x:v>
      </x:c>
      <x:c r="G10" s="2" t="str">
        <x:f>IF(ISNUMBER(F10),IF(F10&lt;='Параметры'!B20,"да","нет"),"не задано")</x:f>
        <x:v>нет</x:v>
      </x:c>
      <x:c r="H10" s="10" t="n">
        <x:f>2*'Параметры'!B11*'Параметры'!B12*A10*10^-9*'Параметры'!B7</x:f>
        <x:v>0.90432</x:v>
      </x:c>
    </x:row>
    <x:row r="11" ht="35" customHeight="1">
      <x:c r="A11" s="15" t="n">
        <x:v>6</x:v>
      </x:c>
      <x:c r="B11" s="15" t="n">
        <x:v>106</x:v>
      </x:c>
      <x:c r="C11" s="15" t="n">
        <x:v>80</x:v>
      </x:c>
      <x:c r="D11" s="14" t="n">
        <x:f>'Параметры'!B9+(2*'Параметры'!B11*'Параметры'!B12*A11*10^-9+4*'Вариант'!C8+2*'Вариант'!C9)*'Параметры'!B7*'Параметры'!B8</x:f>
        <x:v>1449.2088797587812</x:v>
      </x:c>
      <x:c r="E11" s="14" t="n">
        <x:f>6*(D11*B11/4)/(C11*A11^2)</x:f>
        <x:v>80.00840690334938</x:v>
      </x:c>
      <x:c r="F11" s="14" t="n">
        <x:f>IF(OR(ISBLANK('Параметры'!B6),'Параметры'!B6&lt;=0),"нет E",D11*B11^3/(48*'Параметры'!B6*(C11*A11^3/12)))</x:f>
        <x:v>0.12485756388417132</x:v>
      </x:c>
      <x:c r="G11" s="2" t="str">
        <x:f>IF(ISNUMBER(F11),IF(F11&lt;='Параметры'!B20,"да","нет"),"не задано")</x:f>
        <x:v>нет</x:v>
      </x:c>
      <x:c r="H11" s="10" t="n">
        <x:f>2*'Параметры'!B11*'Параметры'!B12*A11*10^-9*'Параметры'!B7</x:f>
        <x:v>0.90432</x:v>
      </x:c>
    </x:row>
    <x:row r="12" ht="35" customHeight="1">
      <x:c r="A12" s="15" t="n">
        <x:v>6</x:v>
      </x:c>
      <x:c r="B12" s="15" t="n">
        <x:v>112</x:v>
      </x:c>
      <x:c r="C12" s="15" t="n">
        <x:v>38</x:v>
      </x:c>
      <x:c r="D12" s="14" t="n">
        <x:f>'Параметры'!B9+(2*'Параметры'!B11*'Параметры'!B12*A12*10^-9+4*'Вариант'!C8+2*'Вариант'!C9)*'Параметры'!B7*'Параметры'!B8</x:f>
        <x:v>1449.2088797587812</x:v>
      </x:c>
      <x:c r="E12" s="14" t="n">
        <x:f>6*(D12*B12/4)/(C12*A12^2)</x:f>
        <x:v>177.9730203212538</x:v>
      </x:c>
      <x:c r="F12" s="14" t="n">
        <x:f>IF(OR(ISBLANK('Параметры'!B6),'Параметры'!B6&lt;=0),"нет E",D12*B12^3/(48*'Параметры'!B6*(C12*A12^3/12)))</x:f>
        <x:v>0.31006855095969554</x:v>
      </x:c>
      <x:c r="G12" s="2" t="str">
        <x:f>IF(ISNUMBER(F12),IF(F12&lt;='Параметры'!B20,"да","нет"),"не задано")</x:f>
        <x:v>нет</x:v>
      </x:c>
      <x:c r="H12" s="10" t="n">
        <x:f>2*'Параметры'!B11*'Параметры'!B12*A12*10^-9*'Параметры'!B7</x:f>
        <x:v>0.90432</x:v>
      </x:c>
    </x:row>
    <x:row r="13" ht="35" customHeight="1">
      <x:c r="A13" s="15" t="n">
        <x:v>6</x:v>
      </x:c>
      <x:c r="B13" s="15" t="n">
        <x:v>112</x:v>
      </x:c>
      <x:c r="C13" s="15" t="n">
        <x:v>60</x:v>
      </x:c>
      <x:c r="D13" s="14" t="n">
        <x:f>'Параметры'!B9+(2*'Параметры'!B11*'Параметры'!B12*A13*10^-9+4*'Вариант'!C8+2*'Вариант'!C9)*'Параметры'!B7*'Параметры'!B8</x:f>
        <x:v>1449.2088797587812</x:v>
      </x:c>
      <x:c r="E13" s="14" t="n">
        <x:f>6*(D13*B13/4)/(C13*A13^2)</x:f>
        <x:v>112.71624620346076</x:v>
      </x:c>
      <x:c r="F13" s="14" t="n">
        <x:f>IF(OR(ISBLANK('Параметры'!B6),'Параметры'!B6&lt;=0),"нет E",D13*B13^3/(48*'Параметры'!B6*(C13*A13^3/12)))</x:f>
        <x:v>0.19637674894114052</x:v>
      </x:c>
      <x:c r="G13" s="2" t="str">
        <x:f>IF(ISNUMBER(F13),IF(F13&lt;='Параметры'!B20,"да","нет"),"не задано")</x:f>
        <x:v>нет</x:v>
      </x:c>
      <x:c r="H13" s="10" t="n">
        <x:f>2*'Параметры'!B11*'Параметры'!B12*A13*10^-9*'Параметры'!B7</x:f>
        <x:v>0.90432</x:v>
      </x:c>
    </x:row>
    <x:row r="14" ht="35" customHeight="1">
      <x:c r="A14" s="15" t="n">
        <x:v>6</x:v>
      </x:c>
      <x:c r="B14" s="15" t="n">
        <x:v>112</x:v>
      </x:c>
      <x:c r="C14" s="15" t="n">
        <x:v>80</x:v>
      </x:c>
      <x:c r="D14" s="14" t="n">
        <x:f>'Параметры'!B9+(2*'Параметры'!B11*'Параметры'!B12*A14*10^-9+4*'Вариант'!C8+2*'Вариант'!C9)*'Параметры'!B7*'Параметры'!B8</x:f>
        <x:v>1449.2088797587812</x:v>
      </x:c>
      <x:c r="E14" s="14" t="n">
        <x:f>6*(D14*B14/4)/(C14*A14^2)</x:f>
        <x:v>84.53718465259557</x:v>
      </x:c>
      <x:c r="F14" s="14" t="n">
        <x:f>IF(OR(ISBLANK('Параметры'!B6),'Параметры'!B6&lt;=0),"нет E",D14*B14^3/(48*'Параметры'!B6*(C14*A14^3/12)))</x:f>
        <x:v>0.14728256170585538</x:v>
      </x:c>
      <x:c r="G14" s="2" t="str">
        <x:f>IF(ISNUMBER(F14),IF(F14&lt;='Параметры'!B20,"да","нет"),"не задано")</x:f>
        <x:v>нет</x:v>
      </x:c>
      <x:c r="H14" s="10" t="n">
        <x:f>2*'Параметры'!B11*'Параметры'!B12*A14*10^-9*'Параметры'!B7</x:f>
        <x:v>0.90432</x:v>
      </x:c>
    </x:row>
    <x:row r="15" ht="35" customHeight="1">
      <x:c r="A15" s="15" t="n">
        <x:v>8</x:v>
      </x:c>
      <x:c r="B15" s="15" t="n">
        <x:v>100</x:v>
      </x:c>
      <x:c r="C15" s="15" t="n">
        <x:v>38</x:v>
      </x:c>
      <x:c r="D15" s="14" t="n">
        <x:f>'Параметры'!B9+(2*'Параметры'!B11*'Параметры'!B12*A15*10^-9+4*'Вариант'!C8+2*'Вариант'!C9)*'Параметры'!B7*'Параметры'!B8</x:f>
        <x:v>1452.164996334781</x:v>
      </x:c>
      <x:c r="E15" s="14" t="n">
        <x:f>6*(D15*B15/4)/(C15*A15^2)</x:f>
        <x:v>89.56609763578008</x:v>
      </x:c>
      <x:c r="F15" s="14" t="n">
        <x:f>IF(OR(ISBLANK('Параметры'!B6),'Параметры'!B6&lt;=0),"нет E",D15*B15^3/(48*'Параметры'!B6*(C15*A15^3/12)))</x:f>
        <x:v>0.09329801837060425</x:v>
      </x:c>
      <x:c r="G15" s="2" t="str">
        <x:f>IF(ISNUMBER(F15),IF(F15&lt;='Параметры'!B20,"да","нет"),"не задано")</x:f>
        <x:v>нет</x:v>
      </x:c>
      <x:c r="H15" s="10" t="n">
        <x:f>2*'Параметры'!B11*'Параметры'!B12*A15*10^-9*'Параметры'!B7</x:f>
        <x:v>1.2057600000000002</x:v>
      </x:c>
    </x:row>
    <x:row r="16" ht="35" customHeight="1">
      <x:c r="A16" s="15" t="n">
        <x:v>8</x:v>
      </x:c>
      <x:c r="B16" s="15" t="n">
        <x:v>100</x:v>
      </x:c>
      <x:c r="C16" s="15" t="n">
        <x:v>60</x:v>
      </x:c>
      <x:c r="D16" s="14" t="n">
        <x:f>'Параметры'!B9+(2*'Параметры'!B11*'Параметры'!B12*A16*10^-9+4*'Вариант'!C8+2*'Вариант'!C9)*'Параметры'!B7*'Параметры'!B8</x:f>
        <x:v>1452.164996334781</x:v>
      </x:c>
      <x:c r="E16" s="14" t="n">
        <x:f>6*(D16*B16/4)/(C16*A16^2)</x:f>
        <x:v>56.72519516932739</x:v>
      </x:c>
      <x:c r="F16" s="14" t="n">
        <x:f>IF(OR(ISBLANK('Параметры'!B6),'Параметры'!B6&lt;=0),"нет E",D16*B16^3/(48*'Параметры'!B6*(C16*A16^3/12)))</x:f>
        <x:v>0.05908874496804936</x:v>
      </x:c>
      <x:c r="G16" s="2" t="str">
        <x:f>IF(ISNUMBER(F16),IF(F16&lt;='Параметры'!B20,"да","нет"),"не задано")</x:f>
        <x:v>нет</x:v>
      </x:c>
      <x:c r="H16" s="10" t="n">
        <x:f>2*'Параметры'!B11*'Параметры'!B12*A16*10^-9*'Параметры'!B7</x:f>
        <x:v>1.2057600000000002</x:v>
      </x:c>
    </x:row>
    <x:row r="17" ht="35" customHeight="1">
      <x:c r="A17" s="15" t="n">
        <x:v>8</x:v>
      </x:c>
      <x:c r="B17" s="15" t="n">
        <x:v>100</x:v>
      </x:c>
      <x:c r="C17" s="15" t="n">
        <x:v>80</x:v>
      </x:c>
      <x:c r="D17" s="14" t="n">
        <x:f>'Параметры'!B9+(2*'Параметры'!B11*'Параметры'!B12*A17*10^-9+4*'Вариант'!C8+2*'Вариант'!C9)*'Параметры'!B7*'Параметры'!B8</x:f>
        <x:v>1452.164996334781</x:v>
      </x:c>
      <x:c r="E17" s="14" t="n">
        <x:f>6*(D17*B17/4)/(C17*A17^2)</x:f>
        <x:v>42.54389637699554</x:v>
      </x:c>
      <x:c r="F17" s="14" t="n">
        <x:f>IF(OR(ISBLANK('Параметры'!B6),'Параметры'!B6&lt;=0),"нет E",D17*B17^3/(48*'Параметры'!B6*(C17*A17^3/12)))</x:f>
        <x:v>0.04431655872603702</x:v>
      </x:c>
      <x:c r="G17" s="2" t="str">
        <x:f>IF(ISNUMBER(F17),IF(F17&lt;='Параметры'!B20,"да","нет"),"не задано")</x:f>
        <x:v>да</x:v>
      </x:c>
      <x:c r="H17" s="10" t="n">
        <x:f>2*'Параметры'!B11*'Параметры'!B12*A17*10^-9*'Параметры'!B7</x:f>
        <x:v>1.2057600000000002</x:v>
      </x:c>
    </x:row>
    <x:row r="18" ht="35" customHeight="1">
      <x:c r="A18" s="15" t="n">
        <x:v>8</x:v>
      </x:c>
      <x:c r="B18" s="15" t="n">
        <x:v>106</x:v>
      </x:c>
      <x:c r="C18" s="15" t="n">
        <x:v>38</x:v>
      </x:c>
      <x:c r="D18" s="14" t="n">
        <x:f>'Параметры'!B9+(2*'Параметры'!B11*'Параметры'!B12*A18*10^-9+4*'Вариант'!C8+2*'Вариант'!C9)*'Параметры'!B7*'Параметры'!B8</x:f>
        <x:v>1452.164996334781</x:v>
      </x:c>
      <x:c r="E18" s="14" t="n">
        <x:f>6*(D18*B18/4)/(C18*A18^2)</x:f>
        <x:v>94.94006349392689</x:v>
      </x:c>
      <x:c r="F18" s="14" t="n">
        <x:f>IF(OR(ISBLANK('Параметры'!B6),'Параметры'!B6&lt;=0),"нет E",D18*B18^3/(48*'Параметры'!B6*(C18*A18^3/12)))</x:f>
        <x:v>0.11111943264768359</x:v>
      </x:c>
      <x:c r="G18" s="2" t="str">
        <x:f>IF(ISNUMBER(F18),IF(F18&lt;='Параметры'!B20,"да","нет"),"не задано")</x:f>
        <x:v>нет</x:v>
      </x:c>
      <x:c r="H18" s="10" t="n">
        <x:f>2*'Параметры'!B11*'Параметры'!B12*A18*10^-9*'Параметры'!B7</x:f>
        <x:v>1.2057600000000002</x:v>
      </x:c>
    </x:row>
    <x:row r="19" ht="35" customHeight="1">
      <x:c r="A19" s="15" t="n">
        <x:v>8</x:v>
      </x:c>
      <x:c r="B19" s="15" t="n">
        <x:v>106</x:v>
      </x:c>
      <x:c r="C19" s="15" t="n">
        <x:v>60</x:v>
      </x:c>
      <x:c r="D19" s="14" t="n">
        <x:f>'Параметры'!B9+(2*'Параметры'!B11*'Параметры'!B12*A19*10^-9+4*'Вариант'!C8+2*'Вариант'!C9)*'Параметры'!B7*'Параметры'!B8</x:f>
        <x:v>1452.164996334781</x:v>
      </x:c>
      <x:c r="E19" s="14" t="n">
        <x:f>6*(D19*B19/4)/(C19*A19^2)</x:f>
        <x:v>60.12870687948703</x:v>
      </x:c>
      <x:c r="F19" s="14" t="n">
        <x:f>IF(OR(ISBLANK('Параметры'!B6),'Параметры'!B6&lt;=0),"нет E",D19*B19^3/(48*'Параметры'!B6*(C19*A19^3/12)))</x:f>
        <x:v>0.07037564067686627</x:v>
      </x:c>
      <x:c r="G19" s="2" t="str">
        <x:f>IF(ISNUMBER(F19),IF(F19&lt;='Параметры'!B20,"да","нет"),"не задано")</x:f>
        <x:v>нет</x:v>
      </x:c>
      <x:c r="H19" s="10" t="n">
        <x:f>2*'Параметры'!B11*'Параметры'!B12*A19*10^-9*'Параметры'!B7</x:f>
        <x:v>1.2057600000000002</x:v>
      </x:c>
    </x:row>
    <x:row r="20" ht="35" customHeight="1">
      <x:c r="A20" s="15" t="n">
        <x:v>8</x:v>
      </x:c>
      <x:c r="B20" s="15" t="n">
        <x:v>106</x:v>
      </x:c>
      <x:c r="C20" s="15" t="n">
        <x:v>80</x:v>
      </x:c>
      <x:c r="D20" s="14" t="n">
        <x:f>'Параметры'!B9+(2*'Параметры'!B11*'Параметры'!B12*A20*10^-9+4*'Вариант'!C8+2*'Вариант'!C9)*'Параметры'!B7*'Параметры'!B8</x:f>
        <x:v>1452.164996334781</x:v>
      </x:c>
      <x:c r="E20" s="14" t="n">
        <x:f>6*(D20*B20/4)/(C20*A20^2)</x:f>
        <x:v>45.09653015961527</x:v>
      </x:c>
      <x:c r="F20" s="14" t="n">
        <x:f>IF(OR(ISBLANK('Параметры'!B6),'Параметры'!B6&lt;=0),"нет E",D20*B20^3/(48*'Параметры'!B6*(C20*A20^3/12)))</x:f>
        <x:v>0.052781730507649706</x:v>
      </x:c>
      <x:c r="G20" s="2" t="str">
        <x:f>IF(ISNUMBER(F20),IF(F20&lt;='Параметры'!B20,"да","нет"),"не задано")</x:f>
        <x:v>нет</x:v>
      </x:c>
      <x:c r="H20" s="10" t="n">
        <x:f>2*'Параметры'!B11*'Параметры'!B12*A20*10^-9*'Параметры'!B7</x:f>
        <x:v>1.2057600000000002</x:v>
      </x:c>
    </x:row>
    <x:row r="21" ht="35" customHeight="1">
      <x:c r="A21" s="15" t="n">
        <x:v>8</x:v>
      </x:c>
      <x:c r="B21" s="15" t="n">
        <x:v>112</x:v>
      </x:c>
      <x:c r="C21" s="15" t="n">
        <x:v>38</x:v>
      </x:c>
      <x:c r="D21" s="14" t="n">
        <x:f>'Параметры'!B9+(2*'Параметры'!B11*'Параметры'!B12*A21*10^-9+4*'Вариант'!C8+2*'Вариант'!C9)*'Параметры'!B7*'Параметры'!B8</x:f>
        <x:v>1452.164996334781</x:v>
      </x:c>
      <x:c r="E21" s="14" t="n">
        <x:f>6*(D21*B21/4)/(C21*A21^2)</x:f>
        <x:v>100.3140293520737</x:v>
      </x:c>
      <x:c r="F21" s="14" t="n">
        <x:f>IF(OR(ISBLANK('Параметры'!B6),'Параметры'!B6&lt;=0),"нет E",D21*B21^3/(48*'Параметры'!B6*(C21*A21^3/12)))</x:f>
        <x:v>0.1310769983533763</x:v>
      </x:c>
      <x:c r="G21" s="2" t="str">
        <x:f>IF(ISNUMBER(F21),IF(F21&lt;='Параметры'!B20,"да","нет"),"не задано")</x:f>
        <x:v>нет</x:v>
      </x:c>
      <x:c r="H21" s="10" t="n">
        <x:f>2*'Параметры'!B11*'Параметры'!B12*A21*10^-9*'Параметры'!B7</x:f>
        <x:v>1.2057600000000002</x:v>
      </x:c>
    </x:row>
    <x:row r="22" ht="35" customHeight="1">
      <x:c r="A22" s="15" t="n">
        <x:v>8</x:v>
      </x:c>
      <x:c r="B22" s="15" t="n">
        <x:v>112</x:v>
      </x:c>
      <x:c r="C22" s="15" t="n">
        <x:v>60</x:v>
      </x:c>
      <x:c r="D22" s="14" t="n">
        <x:f>'Параметры'!B9+(2*'Параметры'!B11*'Параметры'!B12*A22*10^-9+4*'Вариант'!C8+2*'Вариант'!C9)*'Параметры'!B7*'Параметры'!B8</x:f>
        <x:v>1452.164996334781</x:v>
      </x:c>
      <x:c r="E22" s="14" t="n">
        <x:f>6*(D22*B22/4)/(C22*A22^2)</x:f>
        <x:v>63.53221858964668</x:v>
      </x:c>
      <x:c r="F22" s="14" t="n">
        <x:f>IF(OR(ISBLANK('Параметры'!B6),'Параметры'!B6&lt;=0),"нет E",D22*B22^3/(48*'Параметры'!B6*(C22*A22^3/12)))</x:f>
        <x:v>0.08301543229047165</x:v>
      </x:c>
      <x:c r="G22" s="2" t="str">
        <x:f>IF(ISNUMBER(F22),IF(F22&lt;='Параметры'!B20,"да","нет"),"не задано")</x:f>
        <x:v>нет</x:v>
      </x:c>
      <x:c r="H22" s="10" t="n">
        <x:f>2*'Параметры'!B11*'Параметры'!B12*A22*10^-9*'Параметры'!B7</x:f>
        <x:v>1.2057600000000002</x:v>
      </x:c>
    </x:row>
    <x:row r="23" ht="35" customHeight="1">
      <x:c r="A23" s="15" t="n">
        <x:v>8</x:v>
      </x:c>
      <x:c r="B23" s="15" t="n">
        <x:v>112</x:v>
      </x:c>
      <x:c r="C23" s="15" t="n">
        <x:v>80</x:v>
      </x:c>
      <x:c r="D23" s="14" t="n">
        <x:f>'Параметры'!B9+(2*'Параметры'!B11*'Параметры'!B12*A23*10^-9+4*'Вариант'!C8+2*'Вариант'!C9)*'Параметры'!B7*'Параметры'!B8</x:f>
        <x:v>1452.164996334781</x:v>
      </x:c>
      <x:c r="E23" s="14" t="n">
        <x:f>6*(D23*B23/4)/(C23*A23^2)</x:f>
        <x:v>47.649163942235006</x:v>
      </x:c>
      <x:c r="F23" s="14" t="n">
        <x:f>IF(OR(ISBLANK('Параметры'!B6),'Параметры'!B6&lt;=0),"нет E",D23*B23^3/(48*'Параметры'!B6*(C23*A23^3/12)))</x:f>
        <x:v>0.06226157421785374</x:v>
      </x:c>
      <x:c r="G23" s="2" t="str">
        <x:f>IF(ISNUMBER(F23),IF(F23&lt;='Параметры'!B20,"да","нет"),"не задано")</x:f>
        <x:v>нет</x:v>
      </x:c>
      <x:c r="H23" s="10" t="n">
        <x:f>2*'Параметры'!B11*'Параметры'!B12*A23*10^-9*'Параметры'!B7</x:f>
        <x:v>1.2057600000000002</x:v>
      </x:c>
    </x:row>
    <x:row r="24" ht="35" customHeight="1">
      <x:c r="A24" s="15" t="n">
        <x:v>10</x:v>
      </x:c>
      <x:c r="B24" s="15" t="n">
        <x:v>100</x:v>
      </x:c>
      <x:c r="C24" s="15" t="n">
        <x:v>38</x:v>
      </x:c>
      <x:c r="D24" s="14" t="n">
        <x:f>'Параметры'!B9+(2*'Параметры'!B11*'Параметры'!B12*A24*10^-9+4*'Вариант'!C8+2*'Вариант'!C9)*'Параметры'!B7*'Параметры'!B8</x:f>
        <x:v>1455.1211129107812</x:v>
      </x:c>
      <x:c r="E24" s="14" t="n">
        <x:f>6*(D24*B24/4)/(C24*A24^2)</x:f>
        <x:v>57.43899129910978</x:v>
      </x:c>
      <x:c r="F24" s="14" t="n">
        <x:f>IF(OR(ISBLANK('Параметры'!B6),'Параметры'!B6&lt;=0),"нет E",D24*B24^3/(48*'Параметры'!B6*(C24*A24^3/12)))</x:f>
        <x:v>0.04786582608259148</x:v>
      </x:c>
      <x:c r="G24" s="2" t="str">
        <x:f>IF(ISNUMBER(F24),IF(F24&lt;='Параметры'!B20,"да","нет"),"не задано")</x:f>
        <x:v>да</x:v>
      </x:c>
      <x:c r="H24" s="10" t="n">
        <x:f>2*'Параметры'!B11*'Параметры'!B12*A24*10^-9*'Параметры'!B7</x:f>
        <x:v>1.5072</x:v>
      </x:c>
    </x:row>
    <x:row r="25" ht="35" customHeight="1">
      <x:c r="A25" s="15" t="n">
        <x:v>10</x:v>
      </x:c>
      <x:c r="B25" s="15" t="n">
        <x:v>100</x:v>
      </x:c>
      <x:c r="C25" s="15" t="n">
        <x:v>60</x:v>
      </x:c>
      <x:c r="D25" s="14" t="n">
        <x:f>'Параметры'!B9+(2*'Параметры'!B11*'Параметры'!B12*A25*10^-9+4*'Вариант'!C8+2*'Вариант'!C9)*'Параметры'!B7*'Параметры'!B8</x:f>
        <x:v>1455.1211129107812</x:v>
      </x:c>
      <x:c r="E25" s="14" t="n">
        <x:f>6*(D25*B25/4)/(C25*A25^2)</x:f>
        <x:v>36.378027822769525</x:v>
      </x:c>
      <x:c r="F25" s="14" t="n">
        <x:f>IF(OR(ISBLANK('Параметры'!B6),'Параметры'!B6&lt;=0),"нет E",D25*B25^3/(48*'Параметры'!B6*(C25*A25^3/12)))</x:f>
        <x:v>0.030315023185641273</x:v>
      </x:c>
      <x:c r="G25" s="2" t="str">
        <x:f>IF(ISNUMBER(F25),IF(F25&lt;='Параметры'!B20,"да","нет"),"не задано")</x:f>
        <x:v>да</x:v>
      </x:c>
      <x:c r="H25" s="10" t="n">
        <x:f>2*'Параметры'!B11*'Параметры'!B12*A25*10^-9*'Параметры'!B7</x:f>
        <x:v>1.5072</x:v>
      </x:c>
    </x:row>
    <x:row r="26" ht="35" customHeight="1">
      <x:c r="A26" s="15" t="n">
        <x:v>10</x:v>
      </x:c>
      <x:c r="B26" s="15" t="n">
        <x:v>100</x:v>
      </x:c>
      <x:c r="C26" s="15" t="n">
        <x:v>80</x:v>
      </x:c>
      <x:c r="D26" s="14" t="n">
        <x:f>'Параметры'!B9+(2*'Параметры'!B11*'Параметры'!B12*A26*10^-9+4*'Вариант'!C8+2*'Вариант'!C9)*'Параметры'!B7*'Параметры'!B8</x:f>
        <x:v>1455.1211129107812</x:v>
      </x:c>
      <x:c r="E26" s="14" t="n">
        <x:f>6*(D26*B26/4)/(C26*A26^2)</x:f>
        <x:v>27.283520867077147</x:v>
      </x:c>
      <x:c r="F26" s="14" t="n">
        <x:f>IF(OR(ISBLANK('Параметры'!B6),'Параметры'!B6&lt;=0),"нет E",D26*B26^3/(48*'Параметры'!B6*(C26*A26^3/12)))</x:f>
        <x:v>0.022736267389230954</x:v>
      </x:c>
      <x:c r="G26" s="2" t="str">
        <x:f>IF(ISNUMBER(F26),IF(F26&lt;='Параметры'!B20,"да","нет"),"не задано")</x:f>
        <x:v>да</x:v>
      </x:c>
      <x:c r="H26" s="10" t="n">
        <x:f>2*'Параметры'!B11*'Параметры'!B12*A26*10^-9*'Параметры'!B7</x:f>
        <x:v>1.5072</x:v>
      </x:c>
    </x:row>
    <x:row r="27" ht="35" customHeight="1">
      <x:c r="A27" s="15" t="n">
        <x:v>10</x:v>
      </x:c>
      <x:c r="B27" s="15" t="n">
        <x:v>106</x:v>
      </x:c>
      <x:c r="C27" s="15" t="n">
        <x:v>38</x:v>
      </x:c>
      <x:c r="D27" s="14" t="n">
        <x:f>'Параметры'!B9+(2*'Параметры'!B11*'Параметры'!B12*A27*10^-9+4*'Вариант'!C8+2*'Вариант'!C9)*'Параметры'!B7*'Параметры'!B8</x:f>
        <x:v>1455.1211129107812</x:v>
      </x:c>
      <x:c r="E27" s="14" t="n">
        <x:f>6*(D27*B27/4)/(C27*A27^2)</x:f>
        <x:v>60.885330777056375</x:v>
      </x:c>
      <x:c r="F27" s="14" t="n">
        <x:f>IF(OR(ISBLANK('Параметры'!B6),'Параметры'!B6&lt;=0),"нет E",D27*B27^3/(48*'Параметры'!B6*(C27*A27^3/12)))</x:f>
        <x:v>0.05700896471758378</x:v>
      </x:c>
      <x:c r="G27" s="2" t="str">
        <x:f>IF(ISNUMBER(F27),IF(F27&lt;='Параметры'!B20,"да","нет"),"не задано")</x:f>
        <x:v>нет</x:v>
      </x:c>
      <x:c r="H27" s="10" t="n">
        <x:f>2*'Параметры'!B11*'Параметры'!B12*A27*10^-9*'Параметры'!B7</x:f>
        <x:v>1.5072</x:v>
      </x:c>
    </x:row>
    <x:row r="28" ht="35" customHeight="1">
      <x:c r="A28" s="15" t="n">
        <x:v>10</x:v>
      </x:c>
      <x:c r="B28" s="15" t="n">
        <x:v>106</x:v>
      </x:c>
      <x:c r="C28" s="15" t="n">
        <x:v>60</x:v>
      </x:c>
      <x:c r="D28" s="14" t="n">
        <x:f>'Параметры'!B9+(2*'Параметры'!B11*'Параметры'!B12*A28*10^-9+4*'Вариант'!C8+2*'Вариант'!C9)*'Параметры'!B7*'Параметры'!B8</x:f>
        <x:v>1455.1211129107812</x:v>
      </x:c>
      <x:c r="E28" s="14" t="n">
        <x:f>6*(D28*B28/4)/(C28*A28^2)</x:f>
        <x:v>38.56070949213571</x:v>
      </x:c>
      <x:c r="F28" s="14" t="n">
        <x:f>IF(OR(ISBLANK('Параметры'!B6),'Параметры'!B6&lt;=0),"нет E",D28*B28^3/(48*'Параметры'!B6*(C28*A28^3/12)))</x:f>
        <x:v>0.03610567765446973</x:v>
      </x:c>
      <x:c r="G28" s="2" t="str">
        <x:f>IF(ISNUMBER(F28),IF(F28&lt;='Параметры'!B20,"да","нет"),"не задано")</x:f>
        <x:v>да</x:v>
      </x:c>
      <x:c r="H28" s="10" t="n">
        <x:f>2*'Параметры'!B11*'Параметры'!B12*A28*10^-9*'Параметры'!B7</x:f>
        <x:v>1.5072</x:v>
      </x:c>
    </x:row>
    <x:row r="29" ht="35" customHeight="1">
      <x:c r="A29" s="15" t="n">
        <x:v>10</x:v>
      </x:c>
      <x:c r="B29" s="15" t="n">
        <x:v>106</x:v>
      </x:c>
      <x:c r="C29" s="15" t="n">
        <x:v>80</x:v>
      </x:c>
      <x:c r="D29" s="14" t="n">
        <x:f>'Параметры'!B9+(2*'Параметры'!B11*'Параметры'!B12*A29*10^-9+4*'Вариант'!C8+2*'Вариант'!C9)*'Параметры'!B7*'Параметры'!B8</x:f>
        <x:v>1455.1211129107812</x:v>
      </x:c>
      <x:c r="E29" s="14" t="n">
        <x:f>6*(D29*B29/4)/(C29*A29^2)</x:f>
        <x:v>28.92053211910178</x:v>
      </x:c>
      <x:c r="F29" s="14" t="n">
        <x:f>IF(OR(ISBLANK('Параметры'!B6),'Параметры'!B6&lt;=0),"нет E",D29*B29^3/(48*'Параметры'!B6*(C29*A29^3/12)))</x:f>
        <x:v>0.027079258240852295</x:v>
      </x:c>
      <x:c r="G29" s="2" t="str">
        <x:f>IF(ISNUMBER(F29),IF(F29&lt;='Параметры'!B20,"да","нет"),"не задано")</x:f>
        <x:v>да</x:v>
      </x:c>
      <x:c r="H29" s="10" t="n">
        <x:f>2*'Параметры'!B11*'Параметры'!B12*A29*10^-9*'Параметры'!B7</x:f>
        <x:v>1.5072</x:v>
      </x:c>
    </x:row>
    <x:row r="30" ht="35" customHeight="1">
      <x:c r="A30" s="15" t="n">
        <x:v>10</x:v>
      </x:c>
      <x:c r="B30" s="15" t="n">
        <x:v>112</x:v>
      </x:c>
      <x:c r="C30" s="15" t="n">
        <x:v>38</x:v>
      </x:c>
      <x:c r="D30" s="14" t="n">
        <x:f>'Параметры'!B9+(2*'Параметры'!B11*'Параметры'!B12*A30*10^-9+4*'Вариант'!C8+2*'Вариант'!C9)*'Параметры'!B7*'Параметры'!B8</x:f>
        <x:v>1455.1211129107812</x:v>
      </x:c>
      <x:c r="E30" s="14" t="n">
        <x:f>6*(D30*B30/4)/(C30*A30^2)</x:f>
        <x:v>64.33167025500296</x:v>
      </x:c>
      <x:c r="F30" s="14" t="n">
        <x:f>IF(OR(ISBLANK('Параметры'!B6),'Параметры'!B6&lt;=0),"нет E",D30*B30^3/(48*'Параметры'!B6*(C30*A30^3/12)))</x:f>
        <x:v>0.06724803930656309</x:v>
      </x:c>
      <x:c r="G30" s="2" t="str">
        <x:f>IF(ISNUMBER(F30),IF(F30&lt;='Параметры'!B20,"да","нет"),"не задано")</x:f>
        <x:v>нет</x:v>
      </x:c>
      <x:c r="H30" s="10" t="n">
        <x:f>2*'Параметры'!B11*'Параметры'!B12*A30*10^-9*'Параметры'!B7</x:f>
        <x:v>1.5072</x:v>
      </x:c>
    </x:row>
    <x:row r="31" ht="35" customHeight="1">
      <x:c r="A31" s="15" t="n">
        <x:v>10</x:v>
      </x:c>
      <x:c r="B31" s="15" t="n">
        <x:v>112</x:v>
      </x:c>
      <x:c r="C31" s="15" t="n">
        <x:v>60</x:v>
      </x:c>
      <x:c r="D31" s="14" t="n">
        <x:f>'Параметры'!B9+(2*'Параметры'!B11*'Параметры'!B12*A31*10^-9+4*'Вариант'!C8+2*'Вариант'!C9)*'Параметры'!B7*'Параметры'!B8</x:f>
        <x:v>1455.1211129107812</x:v>
      </x:c>
      <x:c r="E31" s="14" t="n">
        <x:f>6*(D31*B31/4)/(C31*A31^2)</x:f>
        <x:v>40.743391161501876</x:v>
      </x:c>
      <x:c r="F31" s="14" t="n">
        <x:f>IF(OR(ISBLANK('Параметры'!B6),'Параметры'!B6&lt;=0),"нет E",D31*B31^3/(48*'Параметры'!B6*(C31*A31^3/12)))</x:f>
        <x:v>0.042590424894156625</x:v>
      </x:c>
      <x:c r="G31" s="2" t="str">
        <x:f>IF(ISNUMBER(F31),IF(F31&lt;='Параметры'!B20,"да","нет"),"не задано")</x:f>
        <x:v>да</x:v>
      </x:c>
      <x:c r="H31" s="10" t="n">
        <x:f>2*'Параметры'!B11*'Параметры'!B12*A31*10^-9*'Параметры'!B7</x:f>
        <x:v>1.5072</x:v>
      </x:c>
    </x:row>
    <x:row r="32" ht="35" customHeight="1">
      <x:c r="A32" s="15" t="n">
        <x:v>10</x:v>
      </x:c>
      <x:c r="B32" s="15" t="n">
        <x:v>112</x:v>
      </x:c>
      <x:c r="C32" s="15" t="n">
        <x:v>80</x:v>
      </x:c>
      <x:c r="D32" s="14" t="n">
        <x:f>'Параметры'!B9+(2*'Параметры'!B11*'Параметры'!B12*A32*10^-9+4*'Вариант'!C8+2*'Вариант'!C9)*'Параметры'!B7*'Параметры'!B8</x:f>
        <x:v>1455.1211129107812</x:v>
      </x:c>
      <x:c r="E32" s="14" t="n">
        <x:f>6*(D32*B32/4)/(C32*A32^2)</x:f>
        <x:v>30.557543371126403</x:v>
      </x:c>
      <x:c r="F32" s="14" t="n">
        <x:f>IF(OR(ISBLANK('Параметры'!B6),'Параметры'!B6&lt;=0),"нет E",D32*B32^3/(48*'Параметры'!B6*(C32*A32^3/12)))</x:f>
        <x:v>0.03194281867061747</x:v>
      </x:c>
      <x:c r="G32" s="2" t="str">
        <x:f>IF(ISNUMBER(F32),IF(F32&lt;='Параметры'!B20,"да","нет"),"не задано")</x:f>
        <x:v>да</x:v>
      </x:c>
      <x:c r="H32" s="10" t="n">
        <x:f>2*'Параметры'!B11*'Параметры'!B12*A32*10^-9*'Параметры'!B7</x:f>
        <x:v>1.5072</x:v>
      </x:c>
    </x:row>
    <x:row r="33" ht="35" customHeight="1">
      <x:c r="A33" s="15" t="n">
        <x:v>12</x:v>
      </x:c>
      <x:c r="B33" s="15" t="n">
        <x:v>100</x:v>
      </x:c>
      <x:c r="C33" s="15" t="n">
        <x:v>38</x:v>
      </x:c>
      <x:c r="D33" s="14" t="n">
        <x:f>'Параметры'!B9+(2*'Параметры'!B11*'Параметры'!B12*A33*10^-9+4*'Вариант'!C8+2*'Вариант'!C9)*'Параметры'!B7*'Параметры'!B8</x:f>
        <x:v>1458.077229486781</x:v>
      </x:c>
      <x:c r="E33" s="14" t="n">
        <x:f>6*(D33*B33/4)/(C33*A33^2)</x:f>
        <x:v>39.96922229952799</x:v>
      </x:c>
      <x:c r="F33" s="14" t="n">
        <x:f>IF(OR(ISBLANK('Параметры'!B6),'Параметры'!B6&lt;=0),"нет E",D33*B33^3/(48*'Параметры'!B6*(C33*A33^3/12)))</x:f>
        <x:v>0.027756404374672215</x:v>
      </x:c>
      <x:c r="G33" s="2" t="str">
        <x:f>IF(ISNUMBER(F33),IF(F33&lt;='Параметры'!B20,"да","нет"),"не задано")</x:f>
        <x:v>да</x:v>
      </x:c>
      <x:c r="H33" s="10" t="n">
        <x:f>2*'Параметры'!B11*'Параметры'!B12*A33*10^-9*'Параметры'!B7</x:f>
        <x:v>1.80864</x:v>
      </x:c>
    </x:row>
    <x:row r="34" ht="35" customHeight="1">
      <x:c r="A34" s="15" t="n">
        <x:v>12</x:v>
      </x:c>
      <x:c r="B34" s="15" t="n">
        <x:v>100</x:v>
      </x:c>
      <x:c r="C34" s="15" t="n">
        <x:v>60</x:v>
      </x:c>
      <x:c r="D34" s="14" t="n">
        <x:f>'Параметры'!B9+(2*'Параметры'!B11*'Параметры'!B12*A34*10^-9+4*'Вариант'!C8+2*'Вариант'!C9)*'Параметры'!B7*'Параметры'!B8</x:f>
        <x:v>1458.077229486781</x:v>
      </x:c>
      <x:c r="E34" s="14" t="n">
        <x:f>6*(D34*B34/4)/(C34*A34^2)</x:f>
        <x:v>25.31384078970106</x:v>
      </x:c>
      <x:c r="F34" s="14" t="n">
        <x:f>IF(OR(ISBLANK('Параметры'!B6),'Параметры'!B6&lt;=0),"нет E",D34*B34^3/(48*'Параметры'!B6*(C34*A34^3/12)))</x:f>
        <x:v>0.01757905610395907</x:v>
      </x:c>
      <x:c r="G34" s="2" t="str">
        <x:f>IF(ISNUMBER(F34),IF(F34&lt;='Параметры'!B20,"да","нет"),"не задано")</x:f>
        <x:v>да</x:v>
      </x:c>
      <x:c r="H34" s="10" t="n">
        <x:f>2*'Параметры'!B11*'Параметры'!B12*A34*10^-9*'Параметры'!B7</x:f>
        <x:v>1.80864</x:v>
      </x:c>
    </x:row>
    <x:row r="35" ht="35" customHeight="1">
      <x:c r="A35" s="15" t="n">
        <x:v>12</x:v>
      </x:c>
      <x:c r="B35" s="15" t="n">
        <x:v>100</x:v>
      </x:c>
      <x:c r="C35" s="15" t="n">
        <x:v>80</x:v>
      </x:c>
      <x:c r="D35" s="14" t="n">
        <x:f>'Параметры'!B9+(2*'Параметры'!B11*'Параметры'!B12*A35*10^-9+4*'Вариант'!C8+2*'Вариант'!C9)*'Параметры'!B7*'Параметры'!B8</x:f>
        <x:v>1458.077229486781</x:v>
      </x:c>
      <x:c r="E35" s="14" t="n">
        <x:f>6*(D35*B35/4)/(C35*A35^2)</x:f>
        <x:v>18.985380592275796</x:v>
      </x:c>
      <x:c r="F35" s="14" t="n">
        <x:f>IF(OR(ISBLANK('Параметры'!B6),'Параметры'!B6&lt;=0),"нет E",D35*B35^3/(48*'Параметры'!B6*(C35*A35^3/12)))</x:f>
        <x:v>0.013184292077969303</x:v>
      </x:c>
      <x:c r="G35" s="2" t="str">
        <x:f>IF(ISNUMBER(F35),IF(F35&lt;='Параметры'!B20,"да","нет"),"не задано")</x:f>
        <x:v>да</x:v>
      </x:c>
      <x:c r="H35" s="10" t="n">
        <x:f>2*'Параметры'!B11*'Параметры'!B12*A35*10^-9*'Параметры'!B7</x:f>
        <x:v>1.80864</x:v>
      </x:c>
    </x:row>
    <x:row r="36" ht="35" customHeight="1">
      <x:c r="A36" s="15" t="n">
        <x:v>12</x:v>
      </x:c>
      <x:c r="B36" s="15" t="n">
        <x:v>106</x:v>
      </x:c>
      <x:c r="C36" s="15" t="n">
        <x:v>38</x:v>
      </x:c>
      <x:c r="D36" s="14" t="n">
        <x:f>'Параметры'!B9+(2*'Параметры'!B11*'Параметры'!B12*A36*10^-9+4*'Вариант'!C8+2*'Вариант'!C9)*'Параметры'!B7*'Параметры'!B8</x:f>
        <x:v>1458.077229486781</x:v>
      </x:c>
      <x:c r="E36" s="14" t="n">
        <x:f>6*(D36*B36/4)/(C36*A36^2)</x:f>
        <x:v>42.36737563749967</x:v>
      </x:c>
      <x:c r="F36" s="14" t="n">
        <x:f>IF(OR(ISBLANK('Параметры'!B6),'Параметры'!B6&lt;=0),"нет E",D36*B36^3/(48*'Параметры'!B6*(C36*A36^3/12)))</x:f>
        <x:v>0.033058321712704605</x:v>
      </x:c>
      <x:c r="G36" s="2" t="str">
        <x:f>IF(ISNUMBER(F36),IF(F36&lt;='Параметры'!B20,"да","нет"),"не задано")</x:f>
        <x:v>да</x:v>
      </x:c>
      <x:c r="H36" s="10" t="n">
        <x:f>2*'Параметры'!B11*'Параметры'!B12*A36*10^-9*'Параметры'!B7</x:f>
        <x:v>1.80864</x:v>
      </x:c>
    </x:row>
    <x:row r="37" ht="35" customHeight="1">
      <x:c r="A37" s="15" t="n">
        <x:v>12</x:v>
      </x:c>
      <x:c r="B37" s="15" t="n">
        <x:v>106</x:v>
      </x:c>
      <x:c r="C37" s="15" t="n">
        <x:v>60</x:v>
      </x:c>
      <x:c r="D37" s="14" t="n">
        <x:f>'Параметры'!B9+(2*'Параметры'!B11*'Параметры'!B12*A37*10^-9+4*'Вариант'!C8+2*'Вариант'!C9)*'Параметры'!B7*'Параметры'!B8</x:f>
        <x:v>1458.077229486781</x:v>
      </x:c>
      <x:c r="E37" s="14" t="n">
        <x:f>6*(D37*B37/4)/(C37*A37^2)</x:f>
        <x:v>26.832671237083126</x:v>
      </x:c>
      <x:c r="F37" s="14" t="n">
        <x:f>IF(OR(ISBLANK('Параметры'!B6),'Параметры'!B6&lt;=0),"нет E",D37*B37^3/(48*'Параметры'!B6*(C37*A37^3/12)))</x:f>
        <x:v>0.020936937084712916</x:v>
      </x:c>
      <x:c r="G37" s="2" t="str">
        <x:f>IF(ISNUMBER(F37),IF(F37&lt;='Параметры'!B20,"да","нет"),"не задано")</x:f>
        <x:v>да</x:v>
      </x:c>
      <x:c r="H37" s="10" t="n">
        <x:f>2*'Параметры'!B11*'Параметры'!B12*A37*10^-9*'Параметры'!B7</x:f>
        <x:v>1.80864</x:v>
      </x:c>
    </x:row>
    <x:row r="38" ht="35" customHeight="1">
      <x:c r="A38" s="15" t="n">
        <x:v>12</x:v>
      </x:c>
      <x:c r="B38" s="15" t="n">
        <x:v>106</x:v>
      </x:c>
      <x:c r="C38" s="15" t="n">
        <x:v>80</x:v>
      </x:c>
      <x:c r="D38" s="14" t="n">
        <x:f>'Параметры'!B9+(2*'Параметры'!B11*'Параметры'!B12*A38*10^-9+4*'Вариант'!C8+2*'Вариант'!C9)*'Параметры'!B7*'Параметры'!B8</x:f>
        <x:v>1458.077229486781</x:v>
      </x:c>
      <x:c r="E38" s="14" t="n">
        <x:f>6*(D38*B38/4)/(C38*A38^2)</x:f>
        <x:v>20.124503427812343</x:v>
      </x:c>
      <x:c r="F38" s="14" t="n">
        <x:f>IF(OR(ISBLANK('Параметры'!B6),'Параметры'!B6&lt;=0),"нет E",D38*B38^3/(48*'Параметры'!B6*(C38*A38^3/12)))</x:f>
        <x:v>0.015702702813534686</x:v>
      </x:c>
      <x:c r="G38" s="2" t="str">
        <x:f>IF(ISNUMBER(F38),IF(F38&lt;='Параметры'!B20,"да","нет"),"не задано")</x:f>
        <x:v>да</x:v>
      </x:c>
      <x:c r="H38" s="10" t="n">
        <x:f>2*'Параметры'!B11*'Параметры'!B12*A38*10^-9*'Параметры'!B7</x:f>
        <x:v>1.80864</x:v>
      </x:c>
    </x:row>
    <x:row r="39" ht="35" customHeight="1">
      <x:c r="A39" s="15" t="n">
        <x:v>12</x:v>
      </x:c>
      <x:c r="B39" s="15" t="n">
        <x:v>112</x:v>
      </x:c>
      <x:c r="C39" s="15" t="n">
        <x:v>38</x:v>
      </x:c>
      <x:c r="D39" s="14" t="n">
        <x:f>'Параметры'!B9+(2*'Параметры'!B11*'Параметры'!B12*A39*10^-9+4*'Вариант'!C8+2*'Вариант'!C9)*'Параметры'!B7*'Параметры'!B8</x:f>
        <x:v>1458.077229486781</x:v>
      </x:c>
      <x:c r="E39" s="14" t="n">
        <x:f>6*(D39*B39/4)/(C39*A39^2)</x:f>
        <x:v>44.76552897547135</x:v>
      </x:c>
      <x:c r="F39" s="14" t="n">
        <x:f>IF(OR(ISBLANK('Параметры'!B6),'Параметры'!B6&lt;=0),"нет E",D39*B39^3/(48*'Параметры'!B6*(C39*A39^3/12)))</x:f>
        <x:v>0.03899574968529949</x:v>
      </x:c>
      <x:c r="G39" s="2" t="str">
        <x:f>IF(ISNUMBER(F39),IF(F39&lt;='Параметры'!B20,"да","нет"),"не задано")</x:f>
        <x:v>да</x:v>
      </x:c>
      <x:c r="H39" s="10" t="n">
        <x:f>2*'Параметры'!B11*'Параметры'!B12*A39*10^-9*'Параметры'!B7</x:f>
        <x:v>1.80864</x:v>
      </x:c>
    </x:row>
    <x:row r="40" ht="35" customHeight="1">
      <x:c r="A40" s="15" t="n">
        <x:v>12</x:v>
      </x:c>
      <x:c r="B40" s="15" t="n">
        <x:v>112</x:v>
      </x:c>
      <x:c r="C40" s="15" t="n">
        <x:v>60</x:v>
      </x:c>
      <x:c r="D40" s="14" t="n">
        <x:f>'Параметры'!B9+(2*'Параметры'!B11*'Параметры'!B12*A40*10^-9+4*'Вариант'!C8+2*'Вариант'!C9)*'Параметры'!B7*'Параметры'!B8</x:f>
        <x:v>1458.077229486781</x:v>
      </x:c>
      <x:c r="E40" s="14" t="n">
        <x:f>6*(D40*B40/4)/(C40*A40^2)</x:f>
        <x:v>28.351501684465184</x:v>
      </x:c>
      <x:c r="F40" s="14" t="n">
        <x:f>IF(OR(ISBLANK('Параметры'!B6),'Параметры'!B6&lt;=0),"нет E",D40*B40^3/(48*'Параметры'!B6*(C40*A40^3/12)))</x:f>
        <x:v>0.02469730813402301</x:v>
      </x:c>
      <x:c r="G40" s="2" t="str">
        <x:f>IF(ISNUMBER(F40),IF(F40&lt;='Параметры'!B20,"да","нет"),"не задано")</x:f>
        <x:v>да</x:v>
      </x:c>
      <x:c r="H40" s="10" t="n">
        <x:f>2*'Параметры'!B11*'Параметры'!B12*A40*10^-9*'Параметры'!B7</x:f>
        <x:v>1.80864</x:v>
      </x:c>
    </x:row>
    <x:row r="41" ht="35" customHeight="1">
      <x:c r="A41" s="15" t="n">
        <x:v>12</x:v>
      </x:c>
      <x:c r="B41" s="15" t="n">
        <x:v>112</x:v>
      </x:c>
      <x:c r="C41" s="15" t="n">
        <x:v>80</x:v>
      </x:c>
      <x:c r="D41" s="14" t="n">
        <x:f>'Параметры'!B9+(2*'Параметры'!B11*'Параметры'!B12*A41*10^-9+4*'Вариант'!C8+2*'Вариант'!C9)*'Параметры'!B7*'Параметры'!B8</x:f>
        <x:v>1458.077229486781</x:v>
      </x:c>
      <x:c r="E41" s="14" t="n">
        <x:f>6*(D41*B41/4)/(C41*A41^2)</x:f>
        <x:v>21.26362626334889</x:v>
      </x:c>
      <x:c r="F41" s="14" t="n">
        <x:f>IF(OR(ISBLANK('Параметры'!B6),'Параметры'!B6&lt;=0),"нет E",D41*B41^3/(48*'Параметры'!B6*(C41*A41^3/12)))</x:f>
        <x:v>0.018522981100517255</x:v>
      </x:c>
      <x:c r="G41" s="2" t="str">
        <x:f>IF(ISNUMBER(F41),IF(F41&lt;='Параметры'!B20,"да","нет"),"не задано")</x:f>
        <x:v>да</x:v>
      </x:c>
      <x:c r="H41" s="10" t="n">
        <x:f>2*'Параметры'!B11*'Параметры'!B12*A41*10^-9*'Параметры'!B7</x:f>
        <x:v>1.80864</x:v>
      </x:c>
    </x:row>
    <x:row r="42" ht="35" customHeight="1">
      <x:c r="A42" s="2"/>
      <x:c r="B42" s="2"/>
      <x:c r="C42" s="2"/>
      <x:c r="D42" s="2"/>
      <x:c r="E42" s="2"/>
      <x:c r="F42" s="2"/>
      <x:c r="G42" s="2"/>
      <x:c r="H42" s="2"/>
    </x:row>
    <x:row r="43" ht="56" customHeight="1">
      <x:c r="A43" s="7" t="str">
        <x:v>Выбран t=12 мм: для ширины 38 мм и пролёта 112 мм δ≈0,039 мм. Средняя стойка короче R05 на толщину пластины. Точки опирания, нормы сварки и полная прочность не подтверждены.</x:v>
      </x:c>
      <x:c r="B43" s="7"/>
      <x:c r="C43" s="7"/>
      <x:c r="D43" s="7"/>
      <x:c r="E43" s="7"/>
      <x:c r="F43" s="7"/>
      <x:c r="G43" s="7"/>
      <x:c r="H43" s="7"/>
    </x:row>
    <x:row r="44" ht="35" customHeight="1">
      <x:c r="A44" s="2"/>
      <x:c r="B44" s="2"/>
      <x:c r="C44" s="2"/>
      <x:c r="D44" s="2"/>
      <x:c r="E44" s="2"/>
      <x:c r="F44" s="2"/>
      <x:c r="G44" s="2"/>
      <x:c r="H44" s="2"/>
    </x:row>
    <x:row r="45" ht="35" customHeight="1">
      <x:c r="A45" s="2"/>
      <x:c r="B45" s="2"/>
      <x:c r="C45" s="2"/>
      <x:c r="D45" s="2"/>
      <x:c r="E45" s="2"/>
      <x:c r="F45" s="2"/>
      <x:c r="G45" s="2"/>
      <x:c r="H45" s="2"/>
    </x:row>
  </x:sheetData>
  <x:mergeCells>
    <x:mergeCell ref="A2:H2"/>
    <x:mergeCell ref="A3:H3"/>
    <x:mergeCell ref="A43:H4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25" hidden="0" customWidth="1"/>
    <x:col min="3" max="3" width="15" hidden="0" customWidth="1"/>
    <x:col min="4" max="4" width="88" hidden="0" customWidth="1"/>
  </x:cols>
  <x:sheetData>
    <x:row r="1" ht="35" customHeight="1">
      <x:c r="A1" s="2"/>
      <x:c r="B1" s="2"/>
      <x:c r="C1" s="2"/>
      <x:c r="D1" s="2"/>
    </x:row>
    <x:row r="2" ht="35" customHeight="1">
      <x:c r="A2" s="3" t="str">
        <x:v>Параметры усиления R06</x:v>
      </x:c>
      <x:c r="B2" s="2"/>
      <x:c r="C2" s="2"/>
      <x:c r="D2" s="2"/>
    </x:row>
    <x:row r="3" ht="35" customHeight="1">
      <x:c r="A3" s="2"/>
      <x:c r="B3" s="2"/>
      <x:c r="C3" s="2"/>
      <x:c r="D3" s="2"/>
    </x:row>
    <x:row r="4" ht="35" customHeight="1">
      <x:c r="A4" s="2"/>
      <x:c r="B4" s="2"/>
      <x:c r="C4" s="2"/>
      <x:c r="D4" s="2"/>
    </x:row>
    <x:row r="5" ht="48" customHeight="1">
      <x:c r="A5" s="6" t="str">
        <x:v>Параметр</x:v>
      </x:c>
      <x:c r="B5" s="6" t="str">
        <x:v>Значение</x:v>
      </x:c>
      <x:c r="C5" s="6" t="str">
        <x:v>Единица</x:v>
      </x:c>
      <x:c r="D5" s="6" t="str">
        <x:v>Источник / статус</x:v>
      </x:c>
    </x:row>
    <x:row r="6" ht="44" customHeight="1">
      <x:c r="A6" s="7" t="str">
        <x:v>E</x:v>
      </x:c>
      <x:c r="B6" s="8" t="n">
        <x:v>200000</x:v>
      </x:c>
      <x:c r="C6" s="7" t="str">
        <x:v>МПа</x:v>
      </x:c>
      <x:c r="D6" s="7" t="str">
        <x:v>Допущение упругой модели</x:v>
      </x:c>
    </x:row>
    <x:row r="7" ht="44" customHeight="1">
      <x:c r="A7" s="7" t="str">
        <x:v>Плотность</x:v>
      </x:c>
      <x:c r="B7" s="8" t="n">
        <x:v>7850</x:v>
      </x:c>
      <x:c r="C7" s="7" t="str">
        <x:v>кг/м³</x:v>
      </x:c>
      <x:c r="D7" s="7" t="str">
        <x:v>Расчёт массы</x:v>
      </x:c>
    </x:row>
    <x:row r="8" ht="44" customHeight="1">
      <x:c r="A8" s="7" t="str">
        <x:v>g</x:v>
      </x:c>
      <x:c r="B8" s="8" t="n">
        <x:v>9.80665</x:v>
      </x:c>
      <x:c r="C8" s="7" t="str">
        <x:v>м/с²</x:v>
      </x:c>
      <x:c r="D8" s="7" t="str">
        <x:v>Константа</x:v>
      </x:c>
    </x:row>
    <x:row r="9" ht="44" customHeight="1">
      <x:c r="A9" s="7" t="str">
        <x:v>Огибающая опоры R04</x:v>
      </x:c>
      <x:c r="B9" s="8" t="n">
        <x:v>1418.0686894766482</x:v>
      </x:c>
      <x:c r="C9" s="7" t="str">
        <x:v>Н</x:v>
      </x:c>
      <x:c r="D9" s="7" t="str">
        <x:v>q + трубы + местные 15 кг, условная комбинация</x:v>
      </x:c>
    </x:row>
    <x:row r="10" ht="44" customHeight="1">
      <x:c r="A10" s="7" t="str">
        <x:v>Уклон седла</x:v>
      </x:c>
      <x:c r="B10" s="8" t="n">
        <x:v>1.5</x:v>
      </x:c>
      <x:c r="C10" s="7" t="str">
        <x:v>град</x:v>
      </x:c>
      <x:c r="D10" s="7" t="str">
        <x:v>Временное значение 1–2°</x:v>
      </x:c>
    </x:row>
    <x:row r="11" ht="44" customHeight="1">
      <x:c r="A11" s="7" t="str">
        <x:v>Пластина вдоль движения</x:v>
      </x:c>
      <x:c r="B11" s="8" t="n">
        <x:v>120</x:v>
      </x:c>
      <x:c r="C11" s="7" t="str">
        <x:v>мм</x:v>
      </x:c>
      <x:c r="D11" s="7" t="str">
        <x:v>Кандидат после расчёта</x:v>
      </x:c>
    </x:row>
    <x:row r="12" ht="44" customHeight="1">
      <x:c r="A12" s="7" t="str">
        <x:v>Пластина поперечная</x:v>
      </x:c>
      <x:c r="B12" s="8" t="n">
        <x:v>80</x:v>
      </x:c>
      <x:c r="C12" s="7" t="str">
        <x:v>мм</x:v>
      </x:c>
      <x:c r="D12" s="7" t="str">
        <x:v>Кандидат после расчёта</x:v>
      </x:c>
    </x:row>
    <x:row r="13" ht="44" customHeight="1">
      <x:c r="A13" s="7" t="str">
        <x:v>Толщина выбранной пластины</x:v>
      </x:c>
      <x:c r="B13" s="8" t="n">
        <x:v>12</x:v>
      </x:c>
      <x:c r="C13" s="7" t="str">
        <x:v>мм</x:v>
      </x:c>
      <x:c r="D13" s="7" t="str">
        <x:v>По предлагаемому δ≤0,05 мм при b=38, L=112</x:v>
      </x:c>
    </x:row>
    <x:row r="14" ht="44" customHeight="1">
      <x:c r="A14" s="7" t="str">
        <x:v>Толщина боковой щеки</x:v>
      </x:c>
      <x:c r="B14" s="8" t="n">
        <x:v>6</x:v>
      </x:c>
      <x:c r="C14" s="7" t="str">
        <x:v>мм</x:v>
      </x:c>
      <x:c r="D14" s="7" t="str">
        <x:v>Кандидат; эксцентриситет нагрузки t/2</x:v>
      </x:c>
    </x:row>
    <x:row r="15" ht="44" customHeight="1">
      <x:c r="A15" s="7" t="str">
        <x:v>Высота щеки</x:v>
      </x:c>
      <x:c r="B15" s="8" t="n">
        <x:v>80</x:v>
      </x:c>
      <x:c r="C15" s="7" t="str">
        <x:v>мм</x:v>
      </x:c>
      <x:c r="D15" s="7" t="str">
        <x:v>Соответствует высоте трубы</x:v>
      </x:c>
    </x:row>
    <x:row r="16" ht="44" customHeight="1">
      <x:c r="A16" s="7" t="str">
        <x:v>Поперечная длина щеки</x:v>
      </x:c>
      <x:c r="B16" s="8" t="n">
        <x:v>80</x:v>
      </x:c>
      <x:c r="C16" s="7" t="str">
        <x:v>мм</x:v>
      </x:c>
      <x:c r="D16" s="7" t="str">
        <x:v>Геометрия усиления</x:v>
      </x:c>
    </x:row>
    <x:row r="17" ht="44" customHeight="1">
      <x:c r="A17" s="7" t="str">
        <x:v>Наружная ширина трубы</x:v>
      </x:c>
      <x:c r="B17" s="8" t="n">
        <x:v>100</x:v>
      </x:c>
      <x:c r="C17" s="7" t="str">
        <x:v>мм</x:v>
      </x:c>
      <x:c r="D17" s="7" t="str">
        <x:v>R04</x:v>
      </x:c>
    </x:row>
    <x:row r="18" ht="44" customHeight="1">
      <x:c r="A18" s="7" t="str">
        <x:v>Стенка трубы</x:v>
      </x:c>
      <x:c r="B18" s="8" t="n">
        <x:v>4</x:v>
      </x:c>
      <x:c r="C18" s="7" t="str">
        <x:v>мм</x:v>
      </x:c>
      <x:c r="D18" s="7" t="str">
        <x:v>R04; прочность поставки не подтверждена</x:v>
      </x:c>
    </x:row>
    <x:row r="19" ht="44" customHeight="1">
      <x:c r="A19" s="7" t="str">
        <x:v>Радиус трубы</x:v>
      </x:c>
      <x:c r="B19" s="8" t="n">
        <x:v>8</x:v>
      </x:c>
      <x:c r="C19" s="7" t="str">
        <x:v>мм</x:v>
      </x:c>
      <x:c r="D19" s="7" t="str">
        <x:v>Номинальная геометрия R04</x:v>
      </x:c>
    </x:row>
    <x:row r="20" ht="44" customHeight="1">
      <x:c r="A20" s="7" t="str">
        <x:v>Ориентир прогиба пластины</x:v>
      </x:c>
      <x:c r="B20" s="8" t="n">
        <x:v>0.05</x:v>
      </x:c>
      <x:c r="C20" s="7" t="str">
        <x:v>мм</x:v>
      </x:c>
      <x:c r="D20" s="7" t="str">
        <x:v>Предлагаемый частичный критерий, не норматив</x:v>
      </x:c>
    </x:row>
    <x:row r="21" ht="44" customHeight="1">
      <x:c r="A21" s="7" t="str">
        <x:v>Катет шва-кандидата</x:v>
      </x:c>
      <x:c r="B21" s="8" t="n">
        <x:v>3</x:v>
      </x:c>
      <x:c r="C21" s="7" t="str">
        <x:v>мм</x:v>
      </x:c>
      <x:c r="D21" s="7" t="str">
        <x:v>Идеальный равнокатетный 45° шов, нормативный минимум/WPS открыты</x:v>
      </x:c>
    </x:row>
    <x:row r="22" ht="44" customHeight="1">
      <x:c r="A22" s="7" t="str">
        <x:v>Рабочая длина одного шва</x:v>
      </x:c>
      <x:c r="B22" s="8" t="n">
        <x:v>54</x:v>
      </x:c>
      <x:c r="C22" s="7" t="str">
        <x:v>мм</x:v>
      </x:c>
      <x:c r="D22" s="7" t="str">
        <x:v>На прямой части 64 мм, отступ 5 мм с каждого края</x:v>
      </x:c>
    </x:row>
    <x:row r="23" ht="44" customHeight="1">
      <x:c r="A23" s="7" t="str">
        <x:v>Эксцентриситет одной щеки</x:v>
      </x:c>
      <x:c r="B23" s="9" t="n">
        <x:f>B14/2</x:f>
        <x:v>3</x:v>
      </x:c>
      <x:c r="C23" s="7" t="str">
        <x:v>мм</x:v>
      </x:c>
      <x:c r="D23" s="7" t="str">
        <x:v>Половина её толщины</x:v>
      </x:c>
    </x:row>
    <x:row r="24" ht="44" customHeight="1">
      <x:c r="A24" s="7" t="str">
        <x:v>Стойка R04 без седла</x:v>
      </x:c>
      <x:c r="B24" s="8" t="n">
        <x:v>542</x:v>
      </x:c>
      <x:c r="C24" s="7" t="str">
        <x:v>мм</x:v>
      </x:c>
      <x:c r="D24" s="7" t="str">
        <x:v>Условная средняя модель</x:v>
      </x:c>
    </x:row>
    <x:row r="25" ht="44" customHeight="1">
      <x:c r="A25" s="7" t="str">
        <x:v>Лента по середине</x:v>
      </x:c>
      <x:c r="B25" s="8" t="n">
        <x:v>800</x:v>
      </x:c>
      <x:c r="C25" s="7" t="str">
        <x:v>мм</x:v>
      </x:c>
      <x:c r="D25" s="7" t="str">
        <x:v>Точка отсчёта условна</x:v>
      </x:c>
    </x:row>
    <x:row r="26" ht="44" customHeight="1">
      <x:c r="A26" s="7" t="str">
        <x:v>Лента — опирание рельса</x:v>
      </x:c>
      <x:c r="B26" s="8" t="n">
        <x:v>170</x:v>
      </x:c>
      <x:c r="C26" s="7" t="str">
        <x:v>мм</x:v>
      </x:c>
      <x:c r="D26" s="7" t="str">
        <x:v>Допущение до роликов</x:v>
      </x:c>
    </x:row>
    <x:row r="27" ht="44" customHeight="1">
      <x:c r="A27" s="7" t="str">
        <x:v>Высота поперечины</x:v>
      </x:c>
      <x:c r="B27" s="8" t="n">
        <x:v>80</x:v>
      </x:c>
      <x:c r="C27" s="7" t="str">
        <x:v>мм</x:v>
      </x:c>
      <x:c r="D27" s="7" t="str">
        <x:v>R04</x:v>
      </x:c>
    </x:row>
    <x:row r="28" ht="44" customHeight="1">
      <x:c r="A28" s="7" t="str">
        <x:v>Толщина базовой плиты</x:v>
      </x:c>
      <x:c r="B28" s="8" t="n">
        <x:v>8</x:v>
      </x:c>
      <x:c r="C28" s="7" t="str">
        <x:v>мм</x:v>
      </x:c>
      <x:c r="D28" s="7" t="str">
        <x:v>Геометрическая заготовка</x:v>
      </x:c>
    </x:row>
    <x:row r="29" ht="44" customHeight="1">
      <x:c r="A29" s="7" t="str">
        <x:v>Длина базовой плиты</x:v>
      </x:c>
      <x:c r="B29" s="8" t="n">
        <x:v>120</x:v>
      </x:c>
      <x:c r="C29" s="7" t="str">
        <x:v>мм</x:v>
      </x:c>
      <x:c r="D29" s="7" t="str">
        <x:v>R04</x:v>
      </x:c>
    </x:row>
    <x:row r="30" ht="44" customHeight="1">
      <x:c r="A30" s="7" t="str">
        <x:v>Ширина базовой плиты</x:v>
      </x:c>
      <x:c r="B30" s="8" t="n">
        <x:v>150</x:v>
      </x:c>
      <x:c r="C30" s="7" t="str">
        <x:v>мм</x:v>
      </x:c>
      <x:c r="D30" s="7" t="str">
        <x:v>R04</x:v>
      </x:c>
    </x:row>
    <x:row r="31" ht="44" customHeight="1">
      <x:c r="A31" s="7" t="str">
        <x:v>Длина поперечины</x:v>
      </x:c>
      <x:c r="B31" s="8" t="n">
        <x:v>700</x:v>
      </x:c>
      <x:c r="C31" s="7" t="str">
        <x:v>мм</x:v>
      </x:c>
      <x:c r="D31" s="7" t="str">
        <x:v>R04</x:v>
      </x:c>
    </x:row>
    <x:row r="32" ht="44" customHeight="1">
      <x:c r="A32" s="7" t="str">
        <x:v>Площадь сечения поперечины</x:v>
      </x:c>
      <x:c r="B32" s="8" t="n">
        <x:v>1334.7964473723105</x:v>
      </x:c>
      <x:c r="C32" s="7" t="str">
        <x:v>мм²</x:v>
      </x:c>
      <x:c r="D32" s="7" t="str">
        <x:v>Геометрия R04; размеры труб здесь не меняются</x:v>
      </x:c>
    </x:row>
    <x:row r="33" ht="44" customHeight="1">
      <x:c r="A33" s="7" t="str">
        <x:v>Площадь стойки</x:v>
      </x:c>
      <x:c r="B33" s="8" t="n">
        <x:v>540.8230016469242</x:v>
      </x:c>
      <x:c r="C33" s="7" t="str">
        <x:v>мм²</x:v>
      </x:c>
      <x:c r="D33" s="7" t="str">
        <x:v>Геометрия R04</x:v>
      </x:c>
    </x:row>
    <x:row r="34" ht="44" customHeight="1">
      <x:c r="A34" s="7" t="str">
        <x:v>Площадь рельса</x:v>
      </x:c>
      <x:c r="B34" s="8" t="n">
        <x:v>840.8230016469242</x:v>
      </x:c>
      <x:c r="C34" s="7" t="str">
        <x:v>мм²</x:v>
      </x:c>
      <x:c r="D34" s="7" t="str">
        <x:v>Геометрия R03</x:v>
      </x:c>
    </x:row>
    <x:row r="35" ht="44" customHeight="1">
      <x:c r="A35" s="7" t="str">
        <x:v>Справочный рельс: длина</x:v>
      </x:c>
      <x:c r="B35" s="8" t="n">
        <x:v>300</x:v>
      </x:c>
      <x:c r="C35" s="7" t="str">
        <x:v>мм</x:v>
      </x:c>
      <x:c r="D35" s="7" t="str">
        <x:v>Четыре отрезка, не полные модули</x:v>
      </x:c>
    </x:row>
    <x:row r="36" ht="44" customHeight="1">
      <x:c r="A36" s="7" t="str">
        <x:v>Длина седла</x:v>
      </x:c>
      <x:c r="B36" s="8" t="n">
        <x:v>100</x:v>
      </x:c>
      <x:c r="C36" s="7" t="str">
        <x:v>мм</x:v>
      </x:c>
      <x:c r="D36" s="7" t="str">
        <x:v>R05</x:v>
      </x:c>
    </x:row>
    <x:row r="37" ht="44" customHeight="1">
      <x:c r="A37" s="7" t="str">
        <x:v>Ширина седла</x:v>
      </x:c>
      <x:c r="B37" s="8" t="n">
        <x:v>60</x:v>
      </x:c>
      <x:c r="C37" s="7" t="str">
        <x:v>мм</x:v>
      </x:c>
      <x:c r="D37" s="7" t="str">
        <x:v>R05</x:v>
      </x:c>
    </x:row>
    <x:row r="38" ht="44" customHeight="1">
      <x:c r="A38" s="7" t="str">
        <x:v>Минимум толщины седла</x:v>
      </x:c>
      <x:c r="B38" s="8" t="n">
        <x:v>10</x:v>
      </x:c>
      <x:c r="C38" s="7" t="str">
        <x:v>мм</x:v>
      </x:c>
      <x:c r="D38" s="7" t="str">
        <x:v>R05, повторно проверен</x:v>
      </x:c>
    </x:row>
    <x:row r="39" ht="44" customHeight="1">
      <x:c r="A39" s="7" t="str">
        <x:v>Эффективная ширина полосы</x:v>
      </x:c>
      <x:c r="B39" s="8" t="n">
        <x:v>38</x:v>
      </x:c>
      <x:c r="C39" s="7" t="str">
        <x:v>мм</x:v>
      </x:c>
      <x:c r="D39" s="7" t="str">
        <x:v>Плоская нижняя поверхность рельса</x:v>
      </x:c>
    </x:row>
    <x:row r="40" ht="44" customHeight="1">
      <x:c r="A40" s="7" t="str">
        <x:v>Пролёт по осям щёк</x:v>
      </x:c>
      <x:c r="B40" s="9" t="n">
        <x:f>B17+B14</x:f>
        <x:v>106</x:v>
      </x:c>
      <x:c r="C40" s="7" t="str">
        <x:v>мм</x:v>
      </x:c>
      <x:c r="D40" s="7" t="str">
        <x:v>Ширина трубы + толщина щеки</x:v>
      </x:c>
    </x:row>
    <x:row r="41" ht="44" customHeight="1">
      <x:c r="A41" s="7" t="str">
        <x:v>Пролёт по наружным граням</x:v>
      </x:c>
      <x:c r="B41" s="9" t="n">
        <x:f>B17+2*B14</x:f>
        <x:v>112</x:v>
      </x:c>
      <x:c r="C41" s="7" t="str">
        <x:v>мм</x:v>
      </x:c>
      <x:c r="D41" s="7" t="str">
        <x:v>Ширина трубы + 2 толщины щеки</x:v>
      </x:c>
    </x:row>
    <x:row r="42" ht="44" customHeight="1">
      <x:c r="A42" s="7" t="str">
        <x:v>Верхний угол диапазона</x:v>
      </x:c>
      <x:c r="B42" s="8" t="n">
        <x:v>2</x:v>
      </x:c>
      <x:c r="C42" s="7" t="str">
        <x:v>град</x:v>
      </x:c>
      <x:c r="D42" s="7" t="str">
        <x:v>Для скатывающей составляющей</x:v>
      </x:c>
    </x:row>
    <x:row r="43" ht="35" customHeight="1">
      <x:c r="A43" s="2"/>
      <x:c r="B43" s="2"/>
      <x:c r="C43" s="2"/>
      <x:c r="D43" s="2"/>
    </x:row>
    <x:row r="44" ht="56" customHeight="1">
      <x:c r="A44" s="7" t="str">
        <x:v>Геометрия шва a=k/√2 принята для идеального равнокатетного шва 45°. Источник терминов a/z: https://www.twi-global.com/technical-knowledge/job-knowledge/design-part-1-090. Нормативная проверка швов не выполнена.</x:v>
      </x:c>
      <x:c r="B44" s="7"/>
      <x:c r="C44" s="7"/>
      <x:c r="D44" s="7"/>
    </x:row>
  </x:sheetData>
  <x:mergeCells>
    <x:mergeCell ref="A44:D44"/>
  </x:mergeCells>
  <x:pageMargins left="0.7" right="0.7" top="0.75" bottom="0.75" header="0.3" footer="0.3"/>
</x:worksheet>
</file>