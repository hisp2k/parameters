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2855e5f81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чёты" sheetId="1" r:id="R0c1714b374964a7e"/>
    <x:sheet xmlns:r="http://schemas.openxmlformats.org/officeDocument/2006/relationships" name="Исходные данные" sheetId="2" r:id="R1ba2f7da504e4452"/>
    <x:sheet xmlns:r="http://schemas.openxmlformats.org/officeDocument/2006/relationships" name="Открытые вопросы" sheetId="3" r:id="Rfc8ae3519ee74074"/>
    <x:sheet xmlns:r="http://schemas.openxmlformats.org/officeDocument/2006/relationships" name="Пролёты" sheetId="4" r:id="R9ca035c4dc274211"/>
    <x:sheet xmlns:r="http://schemas.openxmlformats.org/officeDocument/2006/relationships" name="Пуск и загрузка" sheetId="5" r:id="R118bc36967ea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1"/>
      <x:color rgb="FF202A33"/>
      <x:name val="Arial"/>
    </x:font>
    <x:font>
      <x:b/>
      <x:sz val="15"/>
      <x:color rgb="FF00000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C52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02020"/>
      </x:font>
      <x:fill>
        <x:patternFill patternType="solid">
          <x:bgColor rgb="FFFDE7E7"/>
        </x:patternFill>
      </x:fill>
    </x:dxf>
    <x:dxf>
      <x:font>
        <x:color rgb="FF8A5B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a8ae6d0104ad1" /><Relationship Type="http://schemas.openxmlformats.org/officeDocument/2006/relationships/theme" Target="/xl/theme/theme1.xml" Id="Red956cf5504f49d0" /><Relationship Type="http://schemas.openxmlformats.org/officeDocument/2006/relationships/sharedStrings" Target="/xl/sharedStrings.xml" Id="R3c4b320133874a10" /><Relationship Type="http://schemas.openxmlformats.org/officeDocument/2006/relationships/worksheet" Target="/xl/worksheets/sheet1.xml" Id="R0c1714b374964a7e" /><Relationship Type="http://schemas.openxmlformats.org/officeDocument/2006/relationships/worksheet" Target="/xl/worksheets/sheet2.xml" Id="R1ba2f7da504e4452" /><Relationship Type="http://schemas.openxmlformats.org/officeDocument/2006/relationships/worksheet" Target="/xl/worksheets/sheet3.xml" Id="Rfc8ae3519ee74074" /><Relationship Type="http://schemas.openxmlformats.org/officeDocument/2006/relationships/worksheet" Target="/xl/worksheets/sheet4.xml" Id="R9ca035c4dc274211" /><Relationship Type="http://schemas.openxmlformats.org/officeDocument/2006/relationships/worksheet" Target="/xl/worksheets/sheet5.xml" Id="R118bc36967ea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4" hidden="0" customWidth="1"/>
    <x:col min="3" max="3" width="15" hidden="0" customWidth="1"/>
    <x:col min="4" max="4" width="39" hidden="0" customWidth="1"/>
    <x:col min="5" max="5" width="66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Расчётный паспорт ЛТ500 R02</x:v>
      </x:c>
      <x:c r="B2" s="2"/>
      <x:c r="C2" s="2"/>
      <x:c r="D2" s="2"/>
      <x:c r="E2" s="2"/>
    </x:row>
    <x:row r="3" ht="30" customHeight="1">
      <x:c r="A3" s="2" t="str">
        <x:v>Предварительный расчёт. Размеры силовых деталей и мощность не назначены.</x:v>
      </x:c>
      <x:c r="B3" s="2"/>
      <x:c r="C3" s="2"/>
      <x:c r="D3" s="2"/>
      <x:c r="E3" s="2"/>
    </x:row>
    <x:row r="4" ht="26" customHeight="1">
      <x:c r="A4" s="2"/>
      <x:c r="B4" s="2"/>
      <x:c r="C4" s="2"/>
      <x:c r="D4" s="2"/>
      <x:c r="E4" s="2"/>
    </x:row>
    <x:row r="5" ht="30" customHeight="1">
      <x:c r="A5" s="5" t="str">
        <x:v>Расчёт</x:v>
      </x:c>
      <x:c r="B5" s="5" t="str">
        <x:v>Результат</x:v>
      </x:c>
      <x:c r="C5" s="5" t="str">
        <x:v>Единица</x:v>
      </x:c>
      <x:c r="D5" s="5" t="str">
        <x:v>Зависимость</x:v>
      </x:c>
      <x:c r="E5" s="5" t="str">
        <x:v>Применимость</x:v>
      </x:c>
    </x:row>
    <x:row r="6" ht="50" customHeight="1">
      <x:c r="A6" s="6" t="str">
        <x:v>Габаритная длина в метрах</x:v>
      </x:c>
      <x:c r="B6" s="16" t="n">
        <x:f>'Исходные данные'!C5/1000</x:f>
        <x:v>10</x:v>
      </x:c>
      <x:c r="C6" s="12" t="str">
        <x:v>м</x:v>
      </x:c>
      <x:c r="D6" s="6" t="str">
        <x:v>Lгаб / 1000</x:v>
      </x:c>
      <x:c r="E6" s="6" t="str">
        <x:v>Габарит изделия; не длина загруженной ветви</x:v>
      </x:c>
    </x:row>
    <x:row r="7" ht="50" customHeight="1">
      <x:c r="A7" s="6" t="str">
        <x:v>Погонный вес материала</x:v>
      </x:c>
      <x:c r="B7" s="16" t="n">
        <x:f>'Исходные данные'!C10*'Исходные данные'!C11</x:f>
        <x:v>294.1995</x:v>
      </x:c>
      <x:c r="C7" s="12" t="str">
        <x:v>Н/м</x:v>
      </x:c>
      <x:c r="D7" s="6" t="str">
        <x:v>q × g</x:v>
      </x:c>
      <x:c r="E7" s="6" t="str">
        <x:v>Материал без собственной массы оборудования</x:v>
      </x:c>
    </x:row>
    <x:row r="8" ht="50" customHeight="1">
      <x:c r="A8" s="6" t="str">
        <x:v>Масса для условных 10 м</x:v>
      </x:c>
      <x:c r="B8" s="16" t="n">
        <x:f>'Исходные данные'!C10*B6</x:f>
        <x:v>300</x:v>
      </x:c>
      <x:c r="C8" s="12" t="str">
        <x:v>кг</x:v>
      </x:c>
      <x:c r="D8" s="6" t="str">
        <x:v>q × Lгаб</x:v>
      </x:c>
      <x:c r="E8" s="6" t="str">
        <x:v>Ориентир; фактическую массу считать по Lраб</x:v>
      </x:c>
    </x:row>
    <x:row r="9" ht="50" customHeight="1">
      <x:c r="A9" s="6" t="str">
        <x:v>Вес для условных 10 м</x:v>
      </x:c>
      <x:c r="B9" s="16" t="n">
        <x:f>B8*'Исходные данные'!C11</x:f>
        <x:v>2941.995</x:v>
      </x:c>
      <x:c r="C9" s="12" t="str">
        <x:v>Н</x:v>
      </x:c>
      <x:c r="D9" s="6" t="str">
        <x:v>m × g</x:v>
      </x:c>
      <x:c r="E9" s="6" t="str">
        <x:v>Не полный расчёт нагрузки на раму</x:v>
      </x:c>
    </x:row>
    <x:row r="10" ht="50" customHeight="1">
      <x:c r="A10" s="6" t="str">
        <x:v>Перепад 1° на линии 10 м</x:v>
      </x:c>
      <x:c r="B10" s="16" t="n">
        <x:f>'Исходные данные'!C5*SIN(RADIANS('Исходные данные'!C8))</x:f>
        <x:v>174.5240643728351</x:v>
      </x:c>
      <x:c r="C10" s="12" t="str">
        <x:v>мм</x:v>
      </x:c>
      <x:c r="D10" s="6" t="str">
        <x:v>Lгаб × sin(θmin)</x:v>
      </x:c>
      <x:c r="E10" s="6" t="str">
        <x:v>Если Lгаб трактовать как длину наклонной линии</x:v>
      </x:c>
    </x:row>
    <x:row r="11" ht="50" customHeight="1">
      <x:c r="A11" s="6" t="str">
        <x:v>Перепад 2° на линии 10 м</x:v>
      </x:c>
      <x:c r="B11" s="16" t="n">
        <x:f>'Исходные данные'!C5*SIN(RADIANS('Исходные данные'!C9))</x:f>
        <x:v>348.9949670250097</x:v>
      </x:c>
      <x:c r="C11" s="12" t="str">
        <x:v>мм</x:v>
      </x:c>
      <x:c r="D11" s="6" t="str">
        <x:v>Lгаб × sin(θmax)</x:v>
      </x:c>
      <x:c r="E11" s="6" t="str">
        <x:v>Уточнить реальную длину между выбранными точками</x:v>
      </x:c>
    </x:row>
    <x:row r="12" ht="50" customHeight="1">
      <x:c r="A12" s="6" t="str">
        <x:v>Перепад 1° на проекции 10 м</x:v>
      </x:c>
      <x:c r="B12" s="16" t="n">
        <x:f>'Исходные данные'!C5*TAN(RADIANS('Исходные данные'!C8))</x:f>
        <x:v>174.55064928217587</x:v>
      </x:c>
      <x:c r="C12" s="12" t="str">
        <x:v>мм</x:v>
      </x:c>
      <x:c r="D12" s="6" t="str">
        <x:v>Lгаб × tan(θmin)</x:v>
      </x:c>
      <x:c r="E12" s="6" t="str">
        <x:v>Если Lгаб трактовать как горизонтальную проекцию</x:v>
      </x:c>
    </x:row>
    <x:row r="13" ht="50" customHeight="1">
      <x:c r="A13" s="6" t="str">
        <x:v>Перепад 2° на проекции 10 м</x:v>
      </x:c>
      <x:c r="B13" s="16" t="n">
        <x:f>'Исходные данные'!C5*TAN(RADIANS('Исходные данные'!C9))</x:f>
        <x:v>349.2076949174773</x:v>
      </x:c>
      <x:c r="C13" s="12" t="str">
        <x:v>мм</x:v>
      </x:c>
      <x:c r="D13" s="6" t="str">
        <x:v>Lгаб × tan(θmax)</x:v>
      </x:c>
      <x:c r="E13" s="6" t="str">
        <x:v>Это альтернативное толкование габарита, не выбранная геометрия</x:v>
      </x:c>
    </x:row>
    <x:row r="14" ht="50" customHeight="1">
      <x:c r="A14" s="6" t="str">
        <x:v>Сила вниз для условных 10 м при 1°</x:v>
      </x:c>
      <x:c r="B14" s="16" t="n">
        <x:f>B9*SIN(RADIANS('Исходные данные'!C8))</x:f>
        <x:v>51.344892476455904</x:v>
      </x:c>
      <x:c r="C14" s="12" t="str">
        <x:v>Н</x:v>
      </x:c>
      <x:c r="D14" s="6" t="str">
        <x:v>q × Lгаб × g × sin(θmin)</x:v>
      </x:c>
      <x:c r="E14" s="6" t="str">
        <x:v>Помогает движению вниз; прочие сопротивления не заданы</x:v>
      </x:c>
    </x:row>
    <x:row r="15" ht="50" customHeight="1">
      <x:c r="A15" s="6" t="str">
        <x:v>Сила вниз для условных 10 м при 2°</x:v>
      </x:c>
      <x:c r="B15" s="16" t="n">
        <x:f>B9*SIN(RADIANS('Исходные данные'!C9))</x:f>
        <x:v>102.67414480127434</x:v>
      </x:c>
      <x:c r="C15" s="12" t="str">
        <x:v>Н</x:v>
      </x:c>
      <x:c r="D15" s="6" t="str">
        <x:v>q × Lгаб × g × sin(θmax)</x:v>
      </x:c>
      <x:c r="E15" s="6" t="str">
        <x:v>Мощность из этой силы отдельно не выбирается</x:v>
      </x:c>
    </x:row>
    <x:row r="16" ht="50" customHeight="1">
      <x:c r="A16" s="6" t="str">
        <x:v>Коэффициент расхода по массе</x:v>
      </x:c>
      <x:c r="B16" s="16" t="n">
        <x:f>3.6*'Исходные данные'!C10</x:f>
        <x:v>108</x:v>
      </x:c>
      <x:c r="C16" s="12" t="str">
        <x:v>т/ч на м/с</x:v>
      </x:c>
      <x:c r="D16" s="6" t="str">
        <x:v>3,6 × q</x:v>
      </x:c>
      <x:c r="E16" s="6" t="str">
        <x:v>Q = коэффициент × v, при указанной погонной массе</x:v>
      </x:c>
    </x:row>
    <x:row r="17" ht="50" customHeight="1">
      <x:c r="A17" s="6" t="str">
        <x:v>Массовый расход</x:v>
      </x:c>
      <x:c r="B17" s="16" t="str">
        <x:f>IF(ISBLANK('Исходные данные'!C12),"не задано",IF('Исходные данные'!C12&gt;0,B16*'Исходные данные'!C12,"ошибка скорости"))</x:f>
        <x:v>не задано</x:v>
      </x:c>
      <x:c r="C17" s="12" t="str">
        <x:v>т/ч</x:v>
      </x:c>
      <x:c r="D17" s="6" t="str">
        <x:v>3,6 × q × v</x:v>
      </x:c>
      <x:c r="E17" s="6" t="str">
        <x:v>Не задана скорость; это не требуемая производительность</x:v>
      </x:c>
    </x:row>
    <x:row r="18" ht="50" customHeight="1">
      <x:c r="A18" s="6" t="str">
        <x:v>Площадь сечения потока</x:v>
      </x:c>
      <x:c r="B18" s="16" t="str">
        <x:f>IF(ISBLANK('Исходные данные'!C13),"не задано",IF('Исходные данные'!C13&gt;0,'Исходные данные'!C10/'Исходные данные'!C13,"ошибка плотности"))</x:f>
        <x:v>не задано</x:v>
      </x:c>
      <x:c r="C18" s="12" t="str">
        <x:v>м²</x:v>
      </x:c>
      <x:c r="D18" s="6" t="str">
        <x:v>q / ρ</x:v>
      </x:c>
      <x:c r="E18" s="6" t="str">
        <x:v>Не задана плотность</x:v>
      </x:c>
    </x:row>
    <x:row r="19" ht="50" customHeight="1">
      <x:c r="A19" s="6" t="str">
        <x:v>Объёмный расход</x:v>
      </x:c>
      <x:c r="B19" s="16" t="str">
        <x:f>IF(AND(ISNUMBER(B17),ISNUMBER(B18)),3600*B18*'Исходные данные'!C12,"не задано")</x:f>
        <x:v>не задано</x:v>
      </x:c>
      <x:c r="C19" s="12" t="str">
        <x:v>м³/ч</x:v>
      </x:c>
      <x:c r="D19" s="6" t="str">
        <x:v>3600 × A × v</x:v>
      </x:c>
      <x:c r="E19" s="6" t="str">
        <x:v>Не заданы скорость и плотность</x:v>
      </x:c>
    </x:row>
    <x:row r="20" ht="50" customHeight="1">
      <x:c r="A20" s="6" t="str">
        <x:v>Масса на реальной рабочей длине</x:v>
      </x:c>
      <x:c r="B20" s="16" t="str">
        <x:f>IF(ISBLANK('Исходные данные'!C14),"не задано",IF('Исходные данные'!C14&gt;0,'Исходные данные'!C10*'Исходные данные'!C14,"ошибка длины"))</x:f>
        <x:v>не задано</x:v>
      </x:c>
      <x:c r="C20" s="12" t="str">
        <x:v>кг</x:v>
      </x:c>
      <x:c r="D20" s="6" t="str">
        <x:v>q × Lраб</x:v>
      </x:c>
      <x:c r="E20" s="6" t="str">
        <x:v>Не задана длина загруженной ветви</x:v>
      </x:c>
    </x:row>
    <x:row r="21" ht="50" customHeight="1">
      <x:c r="A21" s="6" t="str">
        <x:v>Сила вниз при 1° на реальной длине</x:v>
      </x:c>
      <x:c r="B21" s="16" t="str">
        <x:f>IF(ISNUMBER(B20),B20*'Исходные данные'!C11*SIN(RADIANS('Исходные данные'!C8)),"не задано")</x:f>
        <x:v>не задано</x:v>
      </x:c>
      <x:c r="C21" s="12" t="str">
        <x:v>Н</x:v>
      </x:c>
      <x:c r="D21" s="6" t="str">
        <x:v>mраб × g × sin(θmin)</x:v>
      </x:c>
      <x:c r="E21" s="6" t="str">
        <x:v>Не задана длина загруженной ветви</x:v>
      </x:c>
    </x:row>
    <x:row r="22" ht="50" customHeight="1">
      <x:c r="A22" s="6" t="str">
        <x:v>Сила вниз при 2° на реальной длине</x:v>
      </x:c>
      <x:c r="B22" s="16" t="str">
        <x:f>IF(ISNUMBER(B20),B20*'Исходные данные'!C11*SIN(RADIANS('Исходные данные'!C9)),"не задано")</x:f>
        <x:v>не задано</x:v>
      </x:c>
      <x:c r="C22" s="12" t="str">
        <x:v>Н</x:v>
      </x:c>
      <x:c r="D22" s="6" t="str">
        <x:v>mраб × g × sin(θmax)</x:v>
      </x:c>
      <x:c r="E22" s="6" t="str">
        <x:v>Не задана длина загруженной ветви</x:v>
      </x:c>
    </x:row>
    <x:row r="23" ht="26" customHeight="1">
      <x:c r="A23" s="2"/>
      <x:c r="B23" s="2"/>
      <x:c r="C23" s="2"/>
      <x:c r="D23" s="2"/>
      <x:c r="E23" s="2"/>
    </x:row>
    <x:row r="24" ht="32" customHeight="1">
      <x:c r="A24" s="2" t="str">
        <x:v>Метод: баланс массы и сил, геометрия. Коэффициенты динамики и запаса ещё не назначены.</x:v>
      </x:c>
      <x:c r="B24" s="2"/>
      <x:c r="C24" s="2"/>
      <x:c r="D24" s="2"/>
      <x:c r="E24" s="2"/>
    </x:row>
    <x:row r="25" ht="26" customHeight="1">
      <x:c r="A25" s="2" t="str">
        <x:v>Открыты: полный тяговый расчёт, натяжение, пуск, прочность и подбор компонентов.</x:v>
      </x:c>
      <x:c r="B25" s="2"/>
      <x:c r="C25" s="2"/>
      <x:c r="D25" s="2"/>
      <x:c r="E25" s="2"/>
    </x:row>
    <x:row r="26" ht="26" customHeight="1">
      <x:c r="A26" s="2"/>
      <x:c r="B26" s="2"/>
      <x:c r="C26" s="2"/>
      <x:c r="D26" s="2"/>
      <x:c r="E26" s="2"/>
    </x:row>
    <x:row r="27" ht="26" customHeight="1">
      <x:c r="A27" s="2"/>
      <x:c r="B27" s="2"/>
      <x:c r="C27" s="2"/>
      <x:c r="D27" s="2"/>
      <x:c r="E27" s="2"/>
    </x:row>
    <x:row r="28" ht="26" customHeight="1">
      <x:c r="A28" s="2"/>
      <x:c r="B28" s="2"/>
      <x:c r="C28" s="2"/>
      <x:c r="D28" s="2"/>
      <x:c r="E28" s="2"/>
    </x:row>
    <x:row r="29" ht="26" customHeight="1">
      <x:c r="A29" s="2"/>
      <x:c r="B29" s="2"/>
      <x:c r="C29" s="2"/>
      <x:c r="D29" s="2"/>
      <x:c r="E29" s="2"/>
    </x:row>
  </x:sheetData>
  <x:mergeCells>
    <x:mergeCell ref="A3:E3"/>
    <x:mergeCell ref="A24:E24"/>
    <x:mergeCell ref="A25:E25"/>
  </x:mergeCells>
  <x:conditionalFormatting sqref="B6:B22">
    <x:cfRule type="containsText" dxfId="1" priority="1" operator="containsText" text="не задано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8" hidden="0" customWidth="1"/>
    <x:col min="3" max="3" width="43" hidden="0" customWidth="1"/>
    <x:col min="4" max="4" width="12" hidden="0" customWidth="1"/>
    <x:col min="5" max="5" width="22" hidden="0" customWidth="1"/>
    <x:col min="6" max="6" width="65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Исходные данные ЛТ500 R02</x:v>
      </x:c>
      <x:c r="B2" s="2"/>
      <x:c r="C2" s="2"/>
      <x:c r="D2" s="2"/>
      <x:c r="E2" s="2"/>
      <x:c r="F2" s="2"/>
    </x:row>
    <x:row r="3" ht="26" customHeight="1">
      <x:c r="A3" s="2"/>
      <x:c r="B3" s="2"/>
      <x:c r="C3" s="2"/>
      <x:c r="D3" s="2"/>
      <x:c r="E3" s="2"/>
      <x:c r="F3" s="2"/>
    </x:row>
    <x:row r="4" ht="30" customHeight="1">
      <x:c r="A4" s="5" t="str">
        <x:v>Код</x:v>
      </x:c>
      <x:c r="B4" s="5" t="str">
        <x:v>Параметр</x:v>
      </x:c>
      <x:c r="C4" s="5" t="str">
        <x:v>Значение</x:v>
      </x:c>
      <x:c r="D4" s="5" t="str">
        <x:v>Единица</x:v>
      </x:c>
      <x:c r="E4" s="5" t="str">
        <x:v>Статус</x:v>
      </x:c>
      <x:c r="F4" s="5" t="str">
        <x:v>Источник и смысл</x:v>
      </x:c>
    </x:row>
    <x:row r="5" ht="58" customHeight="1">
      <x:c r="A5" s="2" t="str">
        <x:v>ИД01</x:v>
      </x:c>
      <x:c r="B5" s="6" t="str">
        <x:v>Полная длина</x:v>
      </x:c>
      <x:c r="C5" s="10" t="n">
        <x:v>10000</x:v>
      </x:c>
      <x:c r="D5" s="12" t="str">
        <x:v>мм</x:v>
      </x:c>
      <x:c r="E5" s="12" t="str">
        <x:v>Подтверждено</x:v>
      </x:c>
      <x:c r="F5" s="6" t="str">
        <x:v>Ответ пользователя; это габарит, не межосевое расстояние</x:v>
      </x:c>
    </x:row>
    <x:row r="6" ht="58" customHeight="1">
      <x:c r="A6" s="2" t="str">
        <x:v>ИД02</x:v>
      </x:c>
      <x:c r="B6" s="6" t="str">
        <x:v>Ширина ленты</x:v>
      </x:c>
      <x:c r="C6" s="10" t="n">
        <x:v>500</x:v>
      </x:c>
      <x:c r="D6" s="12" t="str">
        <x:v>мм</x:v>
      </x:c>
      <x:c r="E6" s="12" t="str">
        <x:v>Подтверждено</x:v>
      </x:c>
      <x:c r="F6" s="6" t="str">
        <x:v>Ответ пользователя; заменяет первоначальные 600 мм</x:v>
      </x:c>
    </x:row>
    <x:row r="7" ht="58" customHeight="1">
      <x:c r="A7" s="2" t="str">
        <x:v>ИД03</x:v>
      </x:c>
      <x:c r="B7" s="6" t="str">
        <x:v>Высота рабочей поверхности</x:v>
      </x:c>
      <x:c r="C7" s="10" t="n">
        <x:v>800</x:v>
      </x:c>
      <x:c r="D7" s="12" t="str">
        <x:v>мм</x:v>
      </x:c>
      <x:c r="E7" s="12" t="str">
        <x:v>Ориентир</x:v>
      </x:c>
      <x:c r="F7" s="6" t="str">
        <x:v>Ответ пользователя; точка привязки и окончательная отметка не заданы</x:v>
      </x:c>
    </x:row>
    <x:row r="8" ht="58" customHeight="1">
      <x:c r="A8" s="2" t="str">
        <x:v>ИД04</x:v>
      </x:c>
      <x:c r="B8" s="6" t="str">
        <x:v>Наклон к выгрузке минимум</x:v>
      </x:c>
      <x:c r="C8" s="10" t="n">
        <x:v>1</x:v>
      </x:c>
      <x:c r="D8" s="12" t="str">
        <x:v>град</x:v>
      </x:c>
      <x:c r="E8" s="12" t="str">
        <x:v>Диапазон</x:v>
      </x:c>
      <x:c r="F8" s="6" t="str">
        <x:v>Ответ пользователя; лента опускается к выгрузке</x:v>
      </x:c>
    </x:row>
    <x:row r="9" ht="58" customHeight="1">
      <x:c r="A9" s="2" t="str">
        <x:v>ИД05</x:v>
      </x:c>
      <x:c r="B9" s="6" t="str">
        <x:v>Наклон к выгрузке максимум</x:v>
      </x:c>
      <x:c r="C9" s="10" t="n">
        <x:v>2</x:v>
      </x:c>
      <x:c r="D9" s="12" t="str">
        <x:v>град</x:v>
      </x:c>
      <x:c r="E9" s="12" t="str">
        <x:v>Диапазон</x:v>
      </x:c>
      <x:c r="F9" s="6" t="str">
        <x:v>Ответ пользователя; точный угол не назначен</x:v>
      </x:c>
    </x:row>
    <x:row r="10" ht="58" customHeight="1">
      <x:c r="A10" s="2" t="str">
        <x:v>ИД06</x:v>
      </x:c>
      <x:c r="B10" s="6" t="str">
        <x:v>Погонная масса материала</x:v>
      </x:c>
      <x:c r="C10" s="10" t="n">
        <x:v>30</x:v>
      </x:c>
      <x:c r="D10" s="12" t="str">
        <x:v>кг/м</x:v>
      </x:c>
      <x:c r="E10" s="12" t="str">
        <x:v>Приблизительно</x:v>
      </x:c>
      <x:c r="F10" s="6" t="str">
        <x:v>Первоначальное задание; требует проверки по реальному потоку</x:v>
      </x:c>
    </x:row>
    <x:row r="11" ht="58" customHeight="1">
      <x:c r="A11" s="2" t="str">
        <x:v>ИД07</x:v>
      </x:c>
      <x:c r="B11" s="6" t="str">
        <x:v>Ускорение свободного падения</x:v>
      </x:c>
      <x:c r="C11" s="10" t="n">
        <x:v>9.80665</x:v>
      </x:c>
      <x:c r="D11" s="12" t="str">
        <x:v>м/с²</x:v>
      </x:c>
      <x:c r="E11" s="12" t="str">
        <x:v>Расчётная константа</x:v>
      </x:c>
      <x:c r="F11" s="6" t="str">
        <x:v>Стандартное ускорение, используется для перевода массы в силу</x:v>
      </x:c>
    </x:row>
    <x:row r="12" ht="58" customHeight="1">
      <x:c r="A12" s="2" t="str">
        <x:v>ИД08</x:v>
      </x:c>
      <x:c r="B12" s="6" t="str">
        <x:v>Скорость ленты</x:v>
      </x:c>
      <x:c r="C12" s="10"/>
      <x:c r="D12" s="12" t="str">
        <x:v>м/с</x:v>
      </x:c>
      <x:c r="E12" s="12" t="str">
        <x:v>Не задано</x:v>
      </x:c>
      <x:c r="F12" s="6" t="str">
        <x:v>Назначить после определения требуемого потока и пригодности транспортирования</x:v>
      </x:c>
    </x:row>
    <x:row r="13" ht="58" customHeight="1">
      <x:c r="A13" s="2" t="str">
        <x:v>ИД09</x:v>
      </x:c>
      <x:c r="B13" s="6" t="str">
        <x:v>Насыпная плотность</x:v>
      </x:c>
      <x:c r="C13" s="10"/>
      <x:c r="D13" s="12" t="str">
        <x:v>кг/м³</x:v>
      </x:c>
      <x:c r="E13" s="12" t="str">
        <x:v>Не задано</x:v>
      </x:c>
      <x:c r="F13" s="6" t="str">
        <x:v>Измерить для влажных отбросов в фактическом состоянии</x:v>
      </x:c>
    </x:row>
    <x:row r="14" ht="58" customHeight="1">
      <x:c r="A14" s="2" t="str">
        <x:v>ИД10</x:v>
      </x:c>
      <x:c r="B14" s="6" t="str">
        <x:v>Длина загруженной рабочей ветви</x:v>
      </x:c>
      <x:c r="C14" s="10"/>
      <x:c r="D14" s="12" t="str">
        <x:v>м</x:v>
      </x:c>
      <x:c r="E14" s="12" t="str">
        <x:v>Не задано</x:v>
      </x:c>
      <x:c r="F14" s="6" t="str">
        <x:v>Определить компоновкой барабанов, загрузки и выгрузки</x:v>
      </x:c>
    </x:row>
    <x:row r="15" ht="58" customHeight="1">
      <x:c r="A15" s="2" t="str">
        <x:v>ИД11</x:v>
      </x:c>
      <x:c r="B15" s="6" t="str">
        <x:v>Материал</x:v>
      </x:c>
      <x:c r="C15" s="11" t="str">
        <x:v>Отбросы с решёток</x:v>
      </x:c>
      <x:c r="D15" s="12" t="str"/>
      <x:c r="E15" s="12" t="str">
        <x:v>Подтверждено</x:v>
      </x:c>
      <x:c r="F15" s="6" t="str">
        <x:v>Без предварительного отжима</x:v>
      </x:c>
    </x:row>
    <x:row r="16" ht="58" customHeight="1">
      <x:c r="A16" s="2" t="str">
        <x:v>ИД12</x:v>
      </x:c>
      <x:c r="B16" s="6" t="str">
        <x:v>Максимальное включение</x:v>
      </x:c>
      <x:c r="C16" s="11"/>
      <x:c r="D16" s="12" t="str">
        <x:v>мм</x:v>
      </x:c>
      <x:c r="E16" s="12" t="str">
        <x:v>Не задано</x:v>
      </x:c>
      <x:c r="F16" s="6" t="str">
        <x:v>Пользователь: неизвестно</x:v>
      </x:c>
    </x:row>
    <x:row r="17" ht="58" customHeight="1">
      <x:c r="A17" s="2" t="str">
        <x:v>ИД13</x:v>
      </x:c>
      <x:c r="B17" s="6" t="str">
        <x:v>Производительность</x:v>
      </x:c>
      <x:c r="C17" s="11"/>
      <x:c r="D17" s="12" t="str">
        <x:v>т/ч</x:v>
      </x:c>
      <x:c r="E17" s="12" t="str">
        <x:v>Не задано</x:v>
      </x:c>
      <x:c r="F17" s="6" t="str">
        <x:v>Пользователь: неизвестно</x:v>
      </x:c>
    </x:row>
    <x:row r="18" ht="58" customHeight="1">
      <x:c r="A18" s="2" t="str">
        <x:v>ИД14</x:v>
      </x:c>
      <x:c r="B18" s="6" t="str">
        <x:v>Число решёток максимум</x:v>
      </x:c>
      <x:c r="C18" s="11" t="n">
        <x:v>3</x:v>
      </x:c>
      <x:c r="D18" s="12" t="str">
        <x:v>шт.</x:v>
      </x:c>
      <x:c r="E18" s="12" t="str">
        <x:v>Подтверждено</x:v>
      </x:c>
      <x:c r="F18" s="6" t="str">
        <x:v>Не более трёх; количество точек и одновременность подачи не определены</x:v>
      </x:c>
    </x:row>
    <x:row r="19" ht="58" customHeight="1">
      <x:c r="A19" s="2" t="str">
        <x:v>ИД15</x:v>
      </x:c>
      <x:c r="B19" s="6" t="str">
        <x:v>Режим</x:v>
      </x:c>
      <x:c r="C19" s="11" t="str">
        <x:v>Непрерывный</x:v>
      </x:c>
      <x:c r="D19" s="12" t="str"/>
      <x:c r="E19" s="12" t="str">
        <x:v>Подтверждено</x:v>
      </x:c>
      <x:c r="F19" s="6" t="str">
        <x:v>24 ч/сут; число пусков и требуемый межремонтный ресурс не заданы</x:v>
      </x:c>
    </x:row>
    <x:row r="20" ht="58" customHeight="1">
      <x:c r="A20" s="2" t="str">
        <x:v>ИД16</x:v>
      </x:c>
      <x:c r="B20" s="6" t="str">
        <x:v>Повторный пуск</x:v>
      </x:c>
      <x:c r="C20" s="11" t="str">
        <x:v>Повторный пуск с отходами</x:v>
      </x:c>
      <x:c r="D20" s="12" t="str">
        <x:v>—</x:v>
      </x:c>
      <x:c r="E20" s="12" t="str">
        <x:v>Подтверждено</x:v>
      </x:c>
      <x:c r="F20" s="6" t="str">
        <x:v>Позднее уточнение пользователя; расчёт остаточной массы требуется</x:v>
      </x:c>
    </x:row>
    <x:row r="21" ht="58" customHeight="1">
      <x:c r="A21" s="2" t="str">
        <x:v>ИД17</x:v>
      </x:c>
      <x:c r="B21" s="6" t="str">
        <x:v>Место установки</x:v>
      </x:c>
      <x:c r="C21" s="11" t="str">
        <x:v>Помещение</x:v>
      </x:c>
      <x:c r="D21" s="12" t="str"/>
      <x:c r="E21" s="12" t="str">
        <x:v>Подтверждено</x:v>
      </x:c>
      <x:c r="F21" s="6" t="str">
        <x:v>Зимой температура положительная; пределы и химическая среда не заданы</x:v>
      </x:c>
    </x:row>
    <x:row r="22" ht="58" customHeight="1">
      <x:c r="A22" s="2" t="str">
        <x:v>ИД18</x:v>
      </x:c>
      <x:c r="B22" s="6" t="str">
        <x:v>Промывка</x:v>
      </x:c>
      <x:c r="C22" s="11" t="str">
        <x:v>Вода из обычного шланга</x:v>
      </x:c>
      <x:c r="D22" s="12" t="str"/>
      <x:c r="E22" s="12" t="str">
        <x:v>Подтверждено</x:v>
      </x:c>
      <x:c r="F22" s="6" t="str">
        <x:v>Без моющих средств; прямое попадание воды учитывать при выборе защиты</x:v>
      </x:c>
    </x:row>
    <x:row r="23" ht="58" customHeight="1">
      <x:c r="A23" s="2" t="str">
        <x:v>ИД19</x:v>
      </x:c>
      <x:c r="B23" s="6" t="str">
        <x:v>Напряжение питания</x:v>
      </x:c>
      <x:c r="C23" s="11" t="n">
        <x:v>380</x:v>
      </x:c>
      <x:c r="D23" s="12" t="str">
        <x:v>В</x:v>
      </x:c>
      <x:c r="E23" s="12" t="str">
        <x:v>Подтверждено</x:v>
      </x:c>
      <x:c r="F23" s="6" t="str">
        <x:v>Три фазы, 380 В, 50 Гц; заземление и ток короткого замыкания не заданы</x:v>
      </x:c>
    </x:row>
    <x:row r="24" ht="58" customHeight="1">
      <x:c r="A24" s="2" t="str">
        <x:v>ИД20</x:v>
      </x:c>
      <x:c r="B24" s="6" t="str">
        <x:v>Регулировка скорости</x:v>
      </x:c>
      <x:c r="C24" s="11" t="str">
        <x:v>Не требуется</x:v>
      </x:c>
      <x:c r="D24" s="12" t="str"/>
      <x:c r="E24" s="12" t="str">
        <x:v>Подтверждено</x:v>
      </x:c>
      <x:c r="F24" s="6" t="str">
        <x:v>Постоянная рабочая скорость; значение пока не выбрано</x:v>
      </x:c>
    </x:row>
    <x:row r="25" ht="58" customHeight="1">
      <x:c r="A25" s="2" t="str">
        <x:v>ИД21</x:v>
      </x:c>
      <x:c r="B25" s="6" t="str">
        <x:v>Управление</x:v>
      </x:c>
      <x:c r="C25" s="11" t="str">
        <x:v>Местное Пуск Стоп</x:v>
      </x:c>
      <x:c r="D25" s="12" t="str"/>
      <x:c r="E25" s="12" t="str">
        <x:v>Подтверждено</x:v>
      </x:c>
      <x:c r="F25" s="6" t="str">
        <x:v>Выбран вариант 1; управление от внешней автоматики не запрошено</x:v>
      </x:c>
    </x:row>
    <x:row r="26" ht="58" customHeight="1">
      <x:c r="A26" s="2" t="str">
        <x:v>ИД22</x:v>
      </x:c>
      <x:c r="B26" s="6" t="str">
        <x:v>Опоры</x:v>
      </x:c>
      <x:c r="C26" s="11" t="str">
        <x:v>Собственные, анкеры в бетон</x:v>
      </x:c>
      <x:c r="D26" s="12" t="str"/>
      <x:c r="E26" s="12" t="str">
        <x:v>Подтверждено</x:v>
      </x:c>
      <x:c r="F26" s="6" t="str">
        <x:v>Прочность и толщина бетона, координаты опор не заданы</x:v>
      </x:c>
    </x:row>
    <x:row r="27" ht="58" customHeight="1">
      <x:c r="A27" s="2" t="str">
        <x:v>ИД23</x:v>
      </x:c>
      <x:c r="B27" s="6" t="str">
        <x:v>Боковые борта</x:v>
      </x:c>
      <x:c r="C27" s="11" t="str">
        <x:v>Нет</x:v>
      </x:c>
      <x:c r="D27" s="12" t="str"/>
      <x:c r="E27" s="12" t="str">
        <x:v>Подтверждено</x:v>
      </x:c>
      <x:c r="F27" s="6" t="str">
        <x:v>Удержание материала проверить при загрузке без бортов</x:v>
      </x:c>
    </x:row>
    <x:row r="28" ht="58" customHeight="1">
      <x:c r="A28" s="2" t="str">
        <x:v>ИД24</x:v>
      </x:c>
      <x:c r="B28" s="6" t="str">
        <x:v>Крышка рабочей ветви</x:v>
      </x:c>
      <x:c r="C28" s="11" t="str">
        <x:v>Нет</x:v>
      </x:c>
      <x:c r="D28" s="12" t="str"/>
      <x:c r="E28" s="12" t="str">
        <x:v>Подтверждено</x:v>
      </x:c>
      <x:c r="F28" s="6" t="str">
        <x:v>Ограждения опасных механизмов проектируются отдельно</x:v>
      </x:c>
    </x:row>
    <x:row r="29" ht="58" customHeight="1">
      <x:c r="A29" s="2" t="str">
        <x:v>ИД25</x:v>
      </x:c>
      <x:c r="B29" s="6" t="str">
        <x:v>Поддон фильтрата</x:v>
      </x:c>
      <x:c r="C29" s="11" t="str">
        <x:v>Нет</x:v>
      </x:c>
      <x:c r="D29" s="12" t="str"/>
      <x:c r="E29" s="12" t="str">
        <x:v>Подтверждено</x:v>
      </x:c>
      <x:c r="F29" s="6" t="str">
        <x:v>Путь отвода стекающей воды не задан</x:v>
      </x:c>
    </x:row>
    <x:row r="30" ht="58" customHeight="1">
      <x:c r="A30" s="2" t="str">
        <x:v>ИД26</x:v>
      </x:c>
      <x:c r="B30" s="6" t="str">
        <x:v>Очиститель</x:v>
      </x:c>
      <x:c r="C30" s="11" t="str">
        <x:v>Предусмотреть</x:v>
      </x:c>
      <x:c r="D30" s="12" t="str"/>
      <x:c r="E30" s="12" t="str">
        <x:v>Подтверждено</x:v>
      </x:c>
      <x:c r="F30" s="6" t="str">
        <x:v>У разгрузочного барабана; тип и сопротивление не выбраны</x:v>
      </x:c>
    </x:row>
    <x:row r="31" ht="58" customHeight="1">
      <x:c r="A31" s="2" t="str">
        <x:v>ИД27</x:v>
      </x:c>
      <x:c r="B31" s="6" t="str">
        <x:v>Высота падения</x:v>
      </x:c>
      <x:c r="C31" s="11"/>
      <x:c r="D31" s="12" t="str">
        <x:v>мм</x:v>
      </x:c>
      <x:c r="E31" s="12" t="str">
        <x:v>Не задано</x:v>
      </x:c>
      <x:c r="F31" s="6" t="str">
        <x:v>Высота падения неизвестна; 15 кг — пиковая масса в одной зоне, ИД32</x:v>
      </x:c>
    </x:row>
    <x:row r="32" ht="58" customHeight="1">
      <x:c r="A32" s="2" t="str">
        <x:v>ИД28</x:v>
      </x:c>
      <x:c r="B32" s="6" t="str">
        <x:v>Секционирование</x:v>
      </x:c>
      <x:c r="C32" s="11" t="str">
        <x:v>Две секции примерно по 5 м</x:v>
      </x:c>
      <x:c r="D32" s="12" t="str"/>
      <x:c r="E32" s="12" t="str">
        <x:v>Разрешено</x:v>
      </x:c>
      <x:c r="F32" s="6" t="str">
        <x:v>Болтовой монтажный стык; длины и положение стыка уточнить</x:v>
      </x:c>
    </x:row>
    <x:row r="33" ht="58" customHeight="1">
      <x:c r="A33" s="2" t="str">
        <x:v>ИД29</x:v>
      </x:c>
      <x:c r="B33" s="6" t="str">
        <x:v>Металлоконструкция</x:v>
      </x:c>
      <x:c r="C33" s="11" t="str">
        <x:v>Ст3</x:v>
      </x:c>
      <x:c r="D33" s="12" t="str"/>
      <x:c r="E33" s="12" t="str">
        <x:v>Из исходного ТЗ</x:v>
      </x:c>
      <x:c r="F33" s="6" t="str">
        <x:v>Подмарка, вид проката, свойства, коррозионная защита требуют уточнения</x:v>
      </x:c>
    </x:row>
    <x:row r="34" ht="58" customHeight="1">
      <x:c r="A34" s="2" t="str">
        <x:v>ИД30</x:v>
      </x:c>
      <x:c r="B34" s="6" t="str">
        <x:v>CAD</x:v>
      </x:c>
      <x:c r="C34" s="11" t="str">
        <x:v>SolidWorks, разработка с нуля</x:v>
      </x:c>
      <x:c r="D34" s="12" t="str"/>
      <x:c r="E34" s="12" t="str">
        <x:v>Подтверждено</x:v>
      </x:c>
      <x:c r="F34" s="6" t="str">
        <x:v>Исходная модель не предоставлена</x:v>
      </x:c>
    </x:row>
    <x:row r="35" ht="58" customHeight="1">
      <x:c r="A35" s="2" t="str">
        <x:v>ИД31</x:v>
      </x:c>
      <x:c r="B35" s="6" t="str">
        <x:v>Покрытие</x:v>
      </x:c>
      <x:c r="C35" s="11" t="str">
        <x:v>Престиж, серое, около 80 мкм</x:v>
      </x:c>
      <x:c r="D35" s="12" t="str"/>
      <x:c r="E35" s="12" t="str">
        <x:v>Из исходного ТЗ</x:v>
      </x:c>
      <x:c r="F35" s="6" t="str">
        <x:v>Не подтверждена конкретная система покрытия и пригодность в данной среде</x:v>
      </x:c>
    </x:row>
    <x:row r="36" ht="58" customHeight="1">
      <x:c r="A36" s="2" t="str">
        <x:v>ИД32</x:v>
      </x:c>
      <x:c r="B36" s="6" t="str">
        <x:v>Пиковая масса в одной зоне</x:v>
      </x:c>
      <x:c r="C36" s="11" t="n">
        <x:v>15</x:v>
      </x:c>
      <x:c r="D36" s="12" t="str">
        <x:v>кг</x:v>
      </x:c>
      <x:c r="E36" s="12" t="str">
        <x:v>Подтверждено</x:v>
      </x:c>
      <x:c r="F36" s="6" t="str">
        <x:v>Пользователь: пиковая нагрузка, ответ 2 — в одной зоне загрузки. Не масса разового сброса.</x:v>
      </x:c>
    </x:row>
    <x:row r="37" ht="58" customHeight="1">
      <x:c r="A37" s="2" t="str">
        <x:v>ИД33</x:v>
      </x:c>
      <x:c r="B37" s="6" t="str">
        <x:v>Работа в сутки</x:v>
      </x:c>
      <x:c r="C37" s="11" t="n">
        <x:v>24</x:v>
      </x:c>
      <x:c r="D37" s="12" t="str">
        <x:v>ч</x:v>
      </x:c>
      <x:c r="E37" s="12" t="str">
        <x:v>Подтверждено</x:v>
      </x:c>
      <x:c r="F37" s="6" t="str">
        <x:v>Непрерывная эксплуатация</x:v>
      </x:c>
    </x:row>
    <x:row r="38" ht="58" customHeight="1">
      <x:c r="A38" s="2" t="str">
        <x:v>ИД34</x:v>
      </x:c>
      <x:c r="B38" s="6" t="str">
        <x:v>Частота сети</x:v>
      </x:c>
      <x:c r="C38" s="11" t="n">
        <x:v>50</x:v>
      </x:c>
      <x:c r="D38" s="12" t="str">
        <x:v>Гц</x:v>
      </x:c>
      <x:c r="E38" s="12" t="str">
        <x:v>Подтверждено</x:v>
      </x:c>
      <x:c r="F38" s="6" t="str">
        <x:v>380 В, три фазы, 50 Гц</x:v>
      </x:c>
    </x:row>
    <x:row r="39" ht="58" customHeight="1">
      <x:c r="A39" s="2" t="str">
        <x:v>ИД35</x:v>
      </x:c>
      <x:c r="B39" s="6" t="str">
        <x:v>Высота падения отходов</x:v>
      </x:c>
      <x:c r="C39" s="11"/>
      <x:c r="D39" s="12" t="str">
        <x:v>м</x:v>
      </x:c>
      <x:c r="E39" s="12" t="str">
        <x:v>Не задано</x:v>
      </x:c>
      <x:c r="F39" s="6" t="str">
        <x:v>Нужна для удара; масса падающего сброса отдельно не задана</x:v>
      </x:c>
    </x:row>
    <x:row r="40" ht="58" customHeight="1">
      <x:c r="A40" s="2" t="str">
        <x:v>ИД36</x:v>
      </x:c>
      <x:c r="B40" s="6" t="str">
        <x:v>Путь торможения при ударе</x:v>
      </x:c>
      <x:c r="C40" s="11"/>
      <x:c r="D40" s="12" t="str">
        <x:v>м</x:v>
      </x:c>
      <x:c r="E40" s="12" t="str">
        <x:v>Не задано</x:v>
      </x:c>
      <x:c r="F40" s="6" t="str">
        <x:v>Физическая деформация/торможение при ударе; не назначать произвольно</x:v>
      </x:c>
    </x:row>
    <x:row r="41" ht="58" customHeight="1">
      <x:c r="A41" s="2" t="str">
        <x:v>ИД37</x:v>
      </x:c>
      <x:c r="B41" s="6" t="str">
        <x:v>Время разгона</x:v>
      </x:c>
      <x:c r="C41" s="11"/>
      <x:c r="D41" s="12" t="str">
        <x:v>с</x:v>
      </x:c>
      <x:c r="E41" s="12" t="str">
        <x:v>Не задано</x:v>
      </x:c>
      <x:c r="F41" s="6" t="str">
        <x:v>Пуск прямой, без частотного регулирования; проверить характеристику привода</x:v>
      </x:c>
    </x:row>
    <x:row r="42" ht="58" customHeight="1">
      <x:c r="A42" s="2" t="str">
        <x:v>ИД38</x:v>
      </x:c>
      <x:c r="B42" s="6" t="str">
        <x:v>Модуль упругости расчётный</x:v>
      </x:c>
      <x:c r="C42" s="11"/>
      <x:c r="D42" s="12" t="str">
        <x:v>МПа</x:v>
      </x:c>
      <x:c r="E42" s="12" t="str">
        <x:v>Не задано</x:v>
      </x:c>
      <x:c r="F42" s="6" t="str">
        <x:v>Назначить по принятому материалу и расчётной методике</x:v>
      </x:c>
    </x:row>
    <x:row r="43" ht="58" customHeight="1">
      <x:c r="A43" s="2" t="str">
        <x:v>ИД39</x:v>
      </x:c>
      <x:c r="B43" s="6" t="str">
        <x:v>Допускаемое напряжение</x:v>
      </x:c>
      <x:c r="C43" s="11"/>
      <x:c r="D43" s="12" t="str">
        <x:v>МПа</x:v>
      </x:c>
      <x:c r="E43" s="12" t="str">
        <x:v>Не задано</x:v>
      </x:c>
      <x:c r="F43" s="6" t="str">
        <x:v>Зависит от марки, схемы проверки и коэффициентов</x:v>
      </x:c>
    </x:row>
    <x:row r="44" ht="58" customHeight="1">
      <x:c r="A44" s="2" t="str">
        <x:v>ИД40</x:v>
      </x:c>
      <x:c r="B44" s="6" t="str">
        <x:v>Допускаемый прогиб</x:v>
      </x:c>
      <x:c r="C44" s="11"/>
      <x:c r="D44" s="12" t="str">
        <x:v>мм</x:v>
      </x:c>
      <x:c r="E44" s="12" t="str">
        <x:v>Не задано</x:v>
      </x:c>
      <x:c r="F44" s="6" t="str">
        <x:v>Назначить с учётом работы ленты и стыка рамы</x:v>
      </x:c>
    </x:row>
    <x:row r="45" ht="58" customHeight="1">
      <x:c r="A45" s="2" t="str">
        <x:v>ИД41</x:v>
      </x:c>
      <x:c r="B45" s="6" t="str">
        <x:v>Масса падающего сброса</x:v>
      </x:c>
      <x:c r="C45" s="11"/>
      <x:c r="D45" s="12" t="str">
        <x:v>кг</x:v>
      </x:c>
      <x:c r="E45" s="12" t="str">
        <x:v>Не задано</x:v>
      </x:c>
      <x:c r="F45" s="6" t="str">
        <x:v>15 кг местной нагрузки не подтверждает массу одновременно падающих отходов</x:v>
      </x:c>
    </x:row>
    <x:row r="46" ht="58" customHeight="1">
      <x:c r="A46" s="2" t="str">
        <x:v>ИД42</x:v>
      </x:c>
      <x:c r="B46" s="6" t="str">
        <x:v>Длина зоны с нагрузкой 15 кг</x:v>
      </x:c>
      <x:c r="C46" s="11"/>
      <x:c r="D46" s="12" t="str">
        <x:v>мм</x:v>
      </x:c>
      <x:c r="E46" s="12" t="str">
        <x:v>Не задано</x:v>
      </x:c>
      <x:c r="F46" s="6" t="str">
        <x:v>Нужна для распределения нагрузки по роликам; вопрос пользователю задан отдельно</x:v>
      </x:c>
    </x:row>
    <x:row r="47" ht="26" customHeight="1">
      <x:c r="A47" s="2"/>
      <x:c r="B47" s="2"/>
      <x:c r="C47" s="2"/>
      <x:c r="D47" s="2"/>
      <x:c r="E47" s="2"/>
      <x:c r="F47" s="2"/>
    </x:row>
    <x:row r="48" ht="35" customHeight="1">
      <x:c r="A48" s="2"/>
      <x:c r="B48" s="6" t="str">
        <x:v>Жёлтые ячейки значений — исходные данные. Пустое значение означает отсутствие данных, а не ноль.</x:v>
      </x:c>
      <x:c r="C48" s="6"/>
      <x:c r="D48" s="6"/>
      <x:c r="E48" s="6"/>
      <x:c r="F48" s="6"/>
    </x:row>
    <x:row r="49" ht="26" customHeight="1">
      <x:c r="A49" s="2"/>
      <x:c r="B49" s="2"/>
      <x:c r="C49" s="2"/>
      <x:c r="D49" s="2"/>
      <x:c r="E49" s="2"/>
      <x:c r="F49" s="2"/>
    </x:row>
  </x:sheetData>
  <x:mergeCells>
    <x:mergeCell ref="B48:F48"/>
  </x:mergeCells>
  <x:conditionalFormatting sqref="E5:E46">
    <x:cfRule type="containsText" dxfId="0" priority="1" operator="containsText" text="Не задано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7" hidden="0" customWidth="1"/>
    <x:col min="3" max="3" width="39" hidden="0" customWidth="1"/>
    <x:col min="4" max="4" width="74" hidden="0" customWidth="1"/>
    <x:col min="5" max="5" width="17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Открытые вопросы ЛТ500 R02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30" customHeight="1">
      <x:c r="A4" s="5" t="str">
        <x:v>Код</x:v>
      </x:c>
      <x:c r="B4" s="5" t="str">
        <x:v>Влияние</x:v>
      </x:c>
      <x:c r="C4" s="5" t="str">
        <x:v>Недостающие данные</x:v>
      </x:c>
      <x:c r="D4" s="5" t="str">
        <x:v>Действие для закрытия</x:v>
      </x:c>
      <x:c r="E4" s="5" t="str">
        <x:v>Статус</x:v>
      </x:c>
    </x:row>
    <x:row r="5" ht="86" customHeight="1">
      <x:c r="A5" s="6" t="str">
        <x:v>Б01</x:v>
      </x:c>
      <x:c r="B5" s="6" t="str">
        <x:v>Блокирует поток и привод</x:v>
      </x:c>
      <x:c r="C5" s="6" t="str">
        <x:v>Производительность и плотность</x:v>
      </x:c>
      <x:c r="D5" s="6" t="str">
        <x:v>Получить паспорт/измерения подачи решёток: средняя и пиковая, одновременная подача; определить плотность.</x:v>
      </x:c>
      <x:c r="E5" s="9" t="str">
        <x:v>Открыто</x:v>
      </x:c>
    </x:row>
    <x:row r="6" ht="86" customHeight="1">
      <x:c r="A6" s="6" t="str">
        <x:v>Б02</x:v>
      </x:c>
      <x:c r="B6" s="6" t="str">
        <x:v>Блокирует загрузку и прочность</x:v>
      </x:c>
      <x:c r="C6" s="6" t="str">
        <x:v>Длина зоны, включения и параметры падения</x:v>
      </x:c>
      <x:c r="D6" s="6" t="str">
        <x:v>15 кг в одной зоне подтверждены; определить длину/ширину пятна, высоту, массу и время падения</x:v>
      </x:c>
      <x:c r="E6" s="9" t="str">
        <x:v>Открыто</x:v>
      </x:c>
    </x:row>
    <x:row r="7" ht="86" customHeight="1">
      <x:c r="A7" s="6" t="str">
        <x:v>Б03</x:v>
      </x:c>
      <x:c r="B7" s="6" t="str">
        <x:v>Блокирует окончательную геометрию</x:v>
      </x:c>
      <x:c r="C7" s="6" t="str">
        <x:v>Координаты загрузки и выгрузки</x:v>
      </x:c>
      <x:c r="D7" s="6" t="str">
        <x:v>Обмерить точки подачи до трёх решёток и приёмник; согласовать точный угол и монтажные отметки.</x:v>
      </x:c>
      <x:c r="E7" s="9" t="str">
        <x:v>Открыто</x:v>
      </x:c>
    </x:row>
    <x:row r="8" ht="86" customHeight="1">
      <x:c r="A8" s="6" t="str">
        <x:v>Б04</x:v>
      </x:c>
      <x:c r="B8" s="6" t="str">
        <x:v>Блокирует крепления</x:v>
      </x:c>
      <x:c r="C8" s="6" t="str">
        <x:v>Бетон и размещение опор</x:v>
      </x:c>
      <x:c r="D8" s="6" t="str">
        <x:v>Получить толщину/класс бетона, армирование, край плиты, коммуникации и допустимые координаты опор.</x:v>
      </x:c>
      <x:c r="E8" s="9" t="str">
        <x:v>Открыто</x:v>
      </x:c>
    </x:row>
    <x:row r="9" ht="86" customHeight="1">
      <x:c r="A9" s="6" t="str">
        <x:v>Б05</x:v>
      </x:c>
      <x:c r="B9" s="6" t="str">
        <x:v>Блокирует подбор ленты и покрытие</x:v>
      </x:c>
      <x:c r="C9" s="6" t="str">
        <x:v>Температура и химическая среда</x:v>
      </x:c>
      <x:c r="D9" s="6" t="str">
        <x:v>Промывка только водой подтверждена; определить границы температуры и агрессивные примеси</x:v>
      </x:c>
      <x:c r="E9" s="9" t="str">
        <x:v>Открыто</x:v>
      </x:c>
    </x:row>
    <x:row r="10" ht="86" customHeight="1">
      <x:c r="A10" s="6" t="str">
        <x:v>Б06</x:v>
      </x:c>
      <x:c r="B10" s="6" t="str">
        <x:v>Блокирует повторный пуск и защиту</x:v>
      </x:c>
      <x:c r="C10" s="6" t="str">
        <x:v>Остаточная загрузка после отключения</x:v>
      </x:c>
      <x:c r="D10" s="6" t="str">
        <x:v>Нагруженный повторный пуск требуется; рассчитать согласованный остаток и консервативный сценарий полной расчётной загрузки</x:v>
      </x:c>
      <x:c r="E10" s="9" t="str">
        <x:v>Открыто</x:v>
      </x:c>
    </x:row>
    <x:row r="11" ht="86" customHeight="1">
      <x:c r="A11" s="6" t="str">
        <x:v>Б07</x:v>
      </x:c>
      <x:c r="B11" s="6" t="str">
        <x:v>Блокирует электрооборудование</x:v>
      </x:c>
      <x:c r="C11" s="6" t="str">
        <x:v>Параметры сети и зоны</x:v>
      </x:c>
      <x:c r="D11" s="6" t="str">
        <x:v>3×380 В, 50 Гц подтверждены; проверить заземление, ток короткого замыкания и условия зоны</x:v>
      </x:c>
      <x:c r="E11" s="9" t="str">
        <x:v>Открыто</x:v>
      </x:c>
    </x:row>
    <x:row r="12" ht="86" customHeight="1">
      <x:c r="A12" s="6" t="str">
        <x:v>Б08</x:v>
      </x:c>
      <x:c r="B12" s="6" t="str">
        <x:v>Блокирует пусконаладку</x:v>
      </x:c>
      <x:c r="C12" s="6" t="str">
        <x:v>Просыпание и отвод воды</x:v>
      </x:c>
      <x:c r="D12" s="6" t="str">
        <x:v>Согласовать приём отходов и отвод воды при отсутствии бортов и поддона.</x:v>
      </x:c>
      <x:c r="E12" s="9" t="str">
        <x:v>Открыто</x:v>
      </x:c>
    </x:row>
    <x:row r="13" ht="86" customHeight="1">
      <x:c r="A13" s="6" t="str">
        <x:v>В01</x:v>
      </x:c>
      <x:c r="B13" s="6" t="str">
        <x:v>Допускает предварительную компоновку</x:v>
      </x:c>
      <x:c r="C13" s="6" t="str">
        <x:v>Требуемый ресурс и пуски</x:v>
      </x:c>
      <x:c r="D13" s="6" t="str">
        <x:v>24 ч/сут подтверждены; определить частоту повторных пусков и межремонтный ресурс</x:v>
      </x:c>
      <x:c r="E13" s="9" t="str">
        <x:v>Открыто</x:v>
      </x:c>
    </x:row>
    <x:row r="14" ht="86" customHeight="1">
      <x:c r="A14" s="6" t="str">
        <x:v>В02</x:v>
      </x:c>
      <x:c r="B14" s="6" t="str">
        <x:v>Допускает предварительную компоновку</x:v>
      </x:c>
      <x:c r="C14" s="6" t="str">
        <x:v>Номенклатура и доставка</x:v>
      </x:c>
      <x:c r="D14" s="6" t="str">
        <x:v>Получить утверждённых поставщиков, ограничения перевозки, ширину проходов и сторону доступа к приводу.</x:v>
      </x:c>
      <x:c r="E14" s="9" t="str">
        <x:v>Открыто</x:v>
      </x:c>
    </x:row>
    <x:row r="15" ht="86" customHeight="1">
      <x:c r="A15" s="6" t="str">
        <x:v>В03</x:v>
      </x:c>
      <x:c r="B15" s="6" t="str">
        <x:v>Блокирует производственные файлы</x:v>
      </x:c>
      <x:c r="C15" s="6" t="str">
        <x:v>Гибка, токарная обработка и CAM</x:v>
      </x:c>
      <x:c r="D15" s="6" t="str">
        <x:v>Токарные станки найдены в прежних документах; подтвердить рабочие зоны, закрепление и ЧПУ. Гибка не подтверждена</x:v>
      </x:c>
      <x:c r="E15" s="9" t="str">
        <x:v>Открыто</x:v>
      </x:c>
    </x:row>
    <x:row r="16" ht="86" customHeight="1">
      <x:c r="A16" s="6" t="str">
        <x:v>В04</x:v>
      </x:c>
      <x:c r="B16" s="6" t="str">
        <x:v>Блокирует выпуск КД</x:v>
      </x:c>
      <x:c r="C16" s="6" t="str">
        <x:v>Рабочая сборка, чертежи и нормативная методика</x:v>
      </x:c>
      <x:c r="D16" s="6" t="str">
        <x:v>API работает; эскизы MASTER созданы и проверены. Рассчитать детали и выпускать КД по применимым правилам</x:v>
      </x:c>
      <x:c r="E16" s="9" t="str">
        <x:v>Открыто</x:v>
      </x:c>
    </x:row>
    <x:row r="17" ht="26" customHeight="1">
      <x:c r="A17" s="2"/>
      <x:c r="B17" s="2"/>
      <x:c r="C17" s="2"/>
      <x:c r="D17" s="2"/>
      <x:c r="E17" s="2"/>
    </x:row>
    <x:row r="18" ht="26" customHeight="1">
      <x:c r="A18" s="2"/>
      <x:c r="B18" s="2"/>
      <x:c r="C18" s="2"/>
      <x:c r="D18" s="2"/>
      <x:c r="E18" s="2"/>
    </x:row>
    <x:row r="19" ht="26" customHeight="1">
      <x:c r="A19" s="2"/>
      <x:c r="B19" s="2"/>
      <x:c r="C19" s="2"/>
      <x:c r="D19" s="2"/>
      <x:c r="E19" s="2"/>
    </x:row>
    <x:row r="20" ht="26" customHeight="1">
      <x:c r="A20" s="2"/>
      <x:c r="B20" s="2"/>
      <x:c r="C20" s="2"/>
      <x:c r="D20" s="2"/>
      <x:c r="E20" s="2"/>
    </x:row>
  </x:sheetData>
  <x:dataValidations count="1">
    <x:dataValidation type="list" sqref="E5:E16">
      <x:formula1>"Открыто,В работе,Закрыто"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3" hidden="0" customWidth="1"/>
    <x:col min="8" max="8" width="2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Пролёты: отдельные статические нагрузки и условная комбинация</x:v>
      </x:c>
      <x:c r="B2" s="2"/>
      <x:c r="C2" s="2"/>
      <x:c r="D2" s="2"/>
      <x:c r="E2" s="2"/>
      <x:c r="F2" s="2"/>
      <x:c r="G2" s="2"/>
      <x:c r="H2" s="2"/>
    </x:row>
    <x:row r="3" ht="58" customHeight="1">
      <x:c r="A3" s="6" t="str">
        <x:v>15 кг в одной зоне: точечная идеализация в середине пролёта. Сумма с q=30 кг/м — только сценарий сравнения; совместность не подтверждена. Без собственного веса и удара.</x:v>
      </x:c>
      <x:c r="B3" s="6"/>
      <x:c r="C3" s="6"/>
      <x:c r="D3" s="6"/>
      <x:c r="E3" s="6"/>
      <x:c r="F3" s="6"/>
      <x:c r="G3" s="6"/>
      <x:c r="H3" s="6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5" t="str">
        <x:v>Пролёт s, м</x:v>
      </x:c>
      <x:c r="B5" s="5" t="str">
        <x:v>Доля β</x:v>
      </x:c>
      <x:c r="C5" s="5" t="str">
        <x:v>w, Н/м</x:v>
      </x:c>
      <x:c r="D5" s="5" t="str">
        <x:v>P, Н</x:v>
      </x:c>
      <x:c r="E5" s="5" t="str">
        <x:v>M от w, Н·м</x:v>
      </x:c>
      <x:c r="F5" s="5" t="str">
        <x:v>M от P, Н·м</x:v>
      </x:c>
      <x:c r="G5" s="5" t="str">
        <x:v>M сумма, Н·м</x:v>
      </x:c>
      <x:c r="H5" s="5" t="str">
        <x:v>K суммы, Н·м³</x:v>
      </x:c>
    </x:row>
    <x:row r="6" ht="34" customHeight="1">
      <x:c r="A6" s="17" t="n">
        <x:v>2</x:v>
      </x:c>
      <x:c r="B6" s="17" t="n">
        <x:v>0.5</x:v>
      </x:c>
      <x:c r="C6" s="13" t="n">
        <x:f>B6*'Расчёты'!B7</x:f>
        <x:v>147.09975</x:v>
      </x:c>
      <x:c r="D6" s="13" t="n">
        <x:f>'Исходные данные'!C36*'Исходные данные'!C11</x:f>
        <x:v>147.09975</x:v>
      </x:c>
      <x:c r="E6" s="13" t="n">
        <x:f>C6*A6^2/8</x:f>
        <x:v>73.549875</x:v>
      </x:c>
      <x:c r="F6" s="13" t="n">
        <x:f>D6*A6/4</x:f>
        <x:v>73.549875</x:v>
      </x:c>
      <x:c r="G6" s="13" t="n">
        <x:f>E6+F6</x:f>
        <x:v>147.09975</x:v>
      </x:c>
      <x:c r="H6" s="13" t="n">
        <x:f>5*C6*A6^4/384+D6*A6^3/48</x:f>
        <x:v>55.162406250000004</x:v>
      </x:c>
    </x:row>
    <x:row r="7" ht="34" customHeight="1">
      <x:c r="A7" s="17" t="n">
        <x:v>2.5</x:v>
      </x:c>
      <x:c r="B7" s="17" t="n">
        <x:v>0.5</x:v>
      </x:c>
      <x:c r="C7" s="13" t="n">
        <x:f>B7*'Расчёты'!B7</x:f>
        <x:v>147.09975</x:v>
      </x:c>
      <x:c r="D7" s="13" t="n">
        <x:f>'Исходные данные'!C36*'Исходные данные'!C11</x:f>
        <x:v>147.09975</x:v>
      </x:c>
      <x:c r="E7" s="13" t="n">
        <x:f>C7*A7^2/8</x:f>
        <x:v>114.9216796875</x:v>
      </x:c>
      <x:c r="F7" s="13" t="n">
        <x:f>D7*A7/4</x:f>
        <x:v>91.93734375</x:v>
      </x:c>
      <x:c r="G7" s="13" t="n">
        <x:f>E7+F7</x:f>
        <x:v>206.8590234375</x:v>
      </x:c>
      <x:c r="H7" s="13" t="n">
        <x:f>5*C7*A7^4/384+D7*A7^3/48</x:f>
        <x:v>122.70283508300781</x:v>
      </x:c>
    </x:row>
    <x:row r="8" ht="34" customHeight="1">
      <x:c r="A8" s="17" t="n">
        <x:v>3.3333333333333335</x:v>
      </x:c>
      <x:c r="B8" s="17" t="n">
        <x:v>0.5</x:v>
      </x:c>
      <x:c r="C8" s="13" t="n">
        <x:f>B8*'Расчёты'!B7</x:f>
        <x:v>147.09975</x:v>
      </x:c>
      <x:c r="D8" s="13" t="n">
        <x:f>'Исходные данные'!C36*'Исходные данные'!C11</x:f>
        <x:v>147.09975</x:v>
      </x:c>
      <x:c r="E8" s="13" t="n">
        <x:f>C8*A8^2/8</x:f>
        <x:v>204.30520833333335</x:v>
      </x:c>
      <x:c r="F8" s="13" t="n">
        <x:f>D8*A8/4</x:f>
        <x:v>122.58312500000001</x:v>
      </x:c>
      <x:c r="G8" s="13" t="n">
        <x:f>E8+F8</x:f>
        <x:v>326.8883333333334</x:v>
      </x:c>
      <x:c r="H8" s="13" t="n">
        <x:f>5*C8*A8^4/384+D8*A8^3/48</x:f>
        <x:v>349.96725501543216</x:v>
      </x:c>
    </x:row>
    <x:row r="9" ht="34" customHeight="1">
      <x:c r="A9" s="17" t="n">
        <x:v>5</x:v>
      </x:c>
      <x:c r="B9" s="17" t="n">
        <x:v>0.5</x:v>
      </x:c>
      <x:c r="C9" s="13" t="n">
        <x:f>B9*'Расчёты'!B7</x:f>
        <x:v>147.09975</x:v>
      </x:c>
      <x:c r="D9" s="13" t="n">
        <x:f>'Исходные данные'!C36*'Исходные данные'!C11</x:f>
        <x:v>147.09975</x:v>
      </x:c>
      <x:c r="E9" s="13" t="n">
        <x:f>C9*A9^2/8</x:f>
        <x:v>459.68671875</x:v>
      </x:c>
      <x:c r="F9" s="13" t="n">
        <x:f>D9*A9/4</x:f>
        <x:v>183.8746875</x:v>
      </x:c>
      <x:c r="G9" s="13" t="n">
        <x:f>E9+F9</x:f>
        <x:v>643.56140625</x:v>
      </x:c>
      <x:c r="H9" s="13" t="n">
        <x:f>5*C9*A9^4/384+D9*A9^3/48</x:f>
        <x:v>1580.173095703125</x:v>
      </x:c>
    </x:row>
    <x:row r="10" ht="34" customHeight="1">
      <x:c r="A10" s="17" t="n">
        <x:v>2</x:v>
      </x:c>
      <x:c r="B10" s="17" t="n">
        <x:v>1</x:v>
      </x:c>
      <x:c r="C10" s="13" t="n">
        <x:f>B10*'Расчёты'!B7</x:f>
        <x:v>294.1995</x:v>
      </x:c>
      <x:c r="D10" s="13" t="n">
        <x:f>'Исходные данные'!C36*'Исходные данные'!C11</x:f>
        <x:v>147.09975</x:v>
      </x:c>
      <x:c r="E10" s="13" t="n">
        <x:f>C10*A10^2/8</x:f>
        <x:v>147.09975</x:v>
      </x:c>
      <x:c r="F10" s="13" t="n">
        <x:f>D10*A10/4</x:f>
        <x:v>73.549875</x:v>
      </x:c>
      <x:c r="G10" s="13" t="n">
        <x:f>E10+F10</x:f>
        <x:v>220.64962500000001</x:v>
      </x:c>
      <x:c r="H10" s="13" t="n">
        <x:f>5*C10*A10^4/384+D10*A10^3/48</x:f>
        <x:v>85.8081875</x:v>
      </x:c>
    </x:row>
    <x:row r="11" ht="34" customHeight="1">
      <x:c r="A11" s="17" t="n">
        <x:v>2.5</x:v>
      </x:c>
      <x:c r="B11" s="17" t="n">
        <x:v>1</x:v>
      </x:c>
      <x:c r="C11" s="13" t="n">
        <x:f>B11*'Расчёты'!B7</x:f>
        <x:v>294.1995</x:v>
      </x:c>
      <x:c r="D11" s="13" t="n">
        <x:f>'Исходные данные'!C36*'Исходные данные'!C11</x:f>
        <x:v>147.09975</x:v>
      </x:c>
      <x:c r="E11" s="13" t="n">
        <x:f>C11*A11^2/8</x:f>
        <x:v>229.843359375</x:v>
      </x:c>
      <x:c r="F11" s="13" t="n">
        <x:f>D11*A11/4</x:f>
        <x:v>91.93734375</x:v>
      </x:c>
      <x:c r="G11" s="13" t="n">
        <x:f>E11+F11</x:f>
        <x:v>321.780703125</x:v>
      </x:c>
      <x:c r="H11" s="13" t="n">
        <x:f>5*C11*A11^4/384+D11*A11^3/48</x:f>
        <x:v>197.52163696289062</x:v>
      </x:c>
    </x:row>
    <x:row r="12" ht="34" customHeight="1">
      <x:c r="A12" s="17" t="n">
        <x:v>3.3333333333333335</x:v>
      </x:c>
      <x:c r="B12" s="17" t="n">
        <x:v>1</x:v>
      </x:c>
      <x:c r="C12" s="13" t="n">
        <x:f>B12*'Расчёты'!B7</x:f>
        <x:v>294.1995</x:v>
      </x:c>
      <x:c r="D12" s="13" t="n">
        <x:f>'Исходные данные'!C36*'Исходные данные'!C11</x:f>
        <x:v>147.09975</x:v>
      </x:c>
      <x:c r="E12" s="13" t="n">
        <x:f>C12*A12^2/8</x:f>
        <x:v>408.6104166666667</x:v>
      </x:c>
      <x:c r="F12" s="13" t="n">
        <x:f>D12*A12/4</x:f>
        <x:v>122.58312500000001</x:v>
      </x:c>
      <x:c r="G12" s="13" t="n">
        <x:f>E12+F12</x:f>
        <x:v>531.1935416666668</x:v>
      </x:c>
      <x:c r="H12" s="13" t="n">
        <x:f>5*C12*A12^4/384+D12*A12^3/48</x:f>
        <x:v>586.4316165123458</x:v>
      </x:c>
    </x:row>
    <x:row r="13" ht="34" customHeight="1">
      <x:c r="A13" s="17" t="n">
        <x:v>5</x:v>
      </x:c>
      <x:c r="B13" s="17" t="n">
        <x:v>1</x:v>
      </x:c>
      <x:c r="C13" s="13" t="n">
        <x:f>B13*'Расчёты'!B7</x:f>
        <x:v>294.1995</x:v>
      </x:c>
      <x:c r="D13" s="13" t="n">
        <x:f>'Исходные данные'!C36*'Исходные данные'!C11</x:f>
        <x:v>147.09975</x:v>
      </x:c>
      <x:c r="E13" s="13" t="n">
        <x:f>C13*A13^2/8</x:f>
        <x:v>919.3734375</x:v>
      </x:c>
      <x:c r="F13" s="13" t="n">
        <x:f>D13*A13/4</x:f>
        <x:v>183.8746875</x:v>
      </x:c>
      <x:c r="G13" s="13" t="n">
        <x:f>E13+F13</x:f>
        <x:v>1103.248125</x:v>
      </x:c>
      <x:c r="H13" s="13" t="n">
        <x:f>5*C13*A13^4/384+D13*A13^3/48</x:f>
        <x:v>2777.27392578125</x:v>
      </x:c>
    </x:row>
    <x:row r="14" ht="46" customHeight="1">
      <x:c r="A14" s="6" t="str">
        <x:v>M от w=w·s²/8; M от P=P·s/4. K суммы=5w·s⁴/384+P·s³/48, δ=K/(EI). Итоговая нагрузка рамы и сечение пока не назначены.</x:v>
      </x:c>
      <x:c r="B14" s="6"/>
      <x:c r="C14" s="6"/>
      <x:c r="D14" s="6"/>
      <x:c r="E14" s="6"/>
      <x:c r="F14" s="6"/>
      <x:c r="G14" s="6"/>
      <x:c r="H14" s="6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</x:row>
    <x:row r="17" ht="26" customHeight="1">
      <x:c r="A17" s="2"/>
      <x:c r="B17" s="2"/>
      <x:c r="C17" s="2"/>
      <x:c r="D17" s="2"/>
      <x:c r="E17" s="2"/>
      <x:c r="F17" s="2"/>
      <x:c r="G17" s="2"/>
      <x:c r="H17" s="2"/>
    </x:row>
    <x:row r="18" ht="26" customHeight="1">
      <x:c r="A18" s="2"/>
      <x:c r="B18" s="2"/>
      <x:c r="C18" s="2"/>
      <x:c r="D18" s="2"/>
      <x:c r="E18" s="2"/>
      <x:c r="F18" s="2"/>
      <x:c r="G18" s="2"/>
      <x:c r="H18" s="2"/>
    </x:row>
  </x:sheetData>
  <x:mergeCells>
    <x:mergeCell ref="A2:H2"/>
    <x:mergeCell ref="A3:H3"/>
    <x:mergeCell ref="A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24" hidden="0" customWidth="1"/>
    <x:col min="3" max="3" width="15" hidden="0" customWidth="1"/>
    <x:col min="4" max="4" width="48" hidden="0" customWidth="1"/>
    <x:col min="5" max="5" width="61" hidden="0" customWidth="1"/>
  </x:cols>
  <x:sheetData>
    <x:row r="1" ht="26" customHeight="1">
      <x:c r="A1" s="2"/>
      <x:c r="B1" s="2"/>
      <x:c r="C1" s="2"/>
      <x:c r="D1" s="2"/>
      <x:c r="E1" s="2"/>
    </x:row>
    <x:row r="2" ht="26" customHeight="1">
      <x:c r="A2" s="3" t="str">
        <x:v>Повторный пуск и локальная пиковая нагрузка</x:v>
      </x:c>
      <x:c r="B2" s="2"/>
      <x:c r="C2" s="2"/>
      <x:c r="D2" s="2"/>
      <x:c r="E2" s="2"/>
    </x:row>
    <x:row r="3" ht="26" customHeight="1">
      <x:c r="A3" s="2"/>
      <x:c r="B3" s="2"/>
      <x:c r="C3" s="2"/>
      <x:c r="D3" s="2"/>
      <x:c r="E3" s="2"/>
    </x:row>
    <x:row r="4" ht="30" customHeight="1">
      <x:c r="A4" s="5" t="str">
        <x:v>Показатель</x:v>
      </x:c>
      <x:c r="B4" s="5" t="str">
        <x:v>Результат</x:v>
      </x:c>
      <x:c r="C4" s="5" t="str">
        <x:v>Единица</x:v>
      </x:c>
      <x:c r="D4" s="5" t="str">
        <x:v>Зависимость</x:v>
      </x:c>
      <x:c r="E4" s="5" t="str">
        <x:v>Ограничение</x:v>
      </x:c>
    </x:row>
    <x:row r="5" ht="63" customHeight="1">
      <x:c r="A5" s="6" t="str">
        <x:v>Пиковая масса в одной зоне</x:v>
      </x:c>
      <x:c r="B5" s="7" t="n">
        <x:f>'Исходные данные'!C36</x:f>
        <x:v>15</x:v>
      </x:c>
      <x:c r="C5" s="6" t="str">
        <x:v>кг</x:v>
      </x:c>
      <x:c r="D5" s="6" t="str">
        <x:v>mз</x:v>
      </x:c>
      <x:c r="E5" s="6" t="str">
        <x:v>Подтверждено пользователем; длина/ширина пятна неизвестны</x:v>
      </x:c>
    </x:row>
    <x:row r="6" ht="63" customHeight="1">
      <x:c r="A6" s="6" t="str">
        <x:v>Статический вес локальной нагрузки</x:v>
      </x:c>
      <x:c r="B6" s="7" t="n">
        <x:f>B5*'Исходные данные'!C11</x:f>
        <x:v>147.09975</x:v>
      </x:c>
      <x:c r="C6" s="6" t="str">
        <x:v>Н</x:v>
      </x:c>
      <x:c r="D6" s="6" t="str">
        <x:v>mз × g</x:v>
      </x:c>
      <x:c r="E6" s="6" t="str">
        <x:v>15 кг не определяет массу падающего сброса или силу удара</x:v>
      </x:c>
    </x:row>
    <x:row r="7" ht="63" customHeight="1">
      <x:c r="A7" s="6" t="str">
        <x:v>Энергия падения</x:v>
      </x:c>
      <x:c r="B7" s="7" t="str">
        <x:f>IF(OR(ISBLANK('Исходные данные'!C45),ISBLANK('Исходные данные'!C39)),"не задано",IF(AND('Исходные данные'!C45&gt;0,'Исходные данные'!C39&gt;=0),'Исходные данные'!C45*'Исходные данные'!C11*'Исходные данные'!C39,"ошибка m/H"))</x:f>
        <x:v>не задано</x:v>
      </x:c>
      <x:c r="C7" s="6" t="str">
        <x:v>Дж</x:v>
      </x:c>
      <x:c r="D7" s="6" t="str">
        <x:v>mпад × g × Hп</x:v>
      </x:c>
      <x:c r="E7" s="6" t="str">
        <x:v>Масса падающего сброса и высота отсутствуют</x:v>
      </x:c>
    </x:row>
    <x:row r="8" ht="63" customHeight="1">
      <x:c r="A8" s="6" t="str">
        <x:v>Средняя контактная сила в простой модели</x:v>
      </x:c>
      <x:c r="B8" s="7" t="str">
        <x:f>IF(OR(ISBLANK('Исходные данные'!C45),ISBLANK('Исходные данные'!C39),ISBLANK('Исходные данные'!C40)),"не задано",IF(AND('Исходные данные'!C45&gt;0,'Исходные данные'!C39&gt;=0,'Исходные данные'!C40&gt;0),'Исходные данные'!C45*'Исходные данные'!C11*(1+'Исходные данные'!C39/'Исходные данные'!C40),"ошибка m/H/s"))</x:f>
        <x:v>не задано</x:v>
      </x:c>
      <x:c r="C8" s="6" t="str">
        <x:v>Н</x:v>
      </x:c>
      <x:c r="D8" s="6" t="str">
        <x:v>mпад × g × (1 + Hп/sт)</x:v>
      </x:c>
      <x:c r="E8" s="6" t="str">
        <x:v>Без отскока; не пиковая сила. mпад отдельно от местных 15 кг</x:v>
      </x:c>
    </x:row>
    <x:row r="9" ht="63" customHeight="1">
      <x:c r="A9" s="6" t="str">
        <x:v>Масса материала при условных 10 м</x:v>
      </x:c>
      <x:c r="B9" s="7" t="n">
        <x:f>'Расчёты'!B8</x:f>
        <x:v>300</x:v>
      </x:c>
      <x:c r="C9" s="6" t="str">
        <x:v>кг</x:v>
      </x:c>
      <x:c r="D9" s="6" t="str">
        <x:v>q × 10</x:v>
      </x:c>
      <x:c r="E9" s="6" t="str">
        <x:v>Сценарий по исходному q; не следует из локальных 15 кг</x:v>
      </x:c>
    </x:row>
    <x:row r="10" ht="63" customHeight="1">
      <x:c r="A10" s="6" t="str">
        <x:v>Разгон материала</x:v>
      </x:c>
      <x:c r="B10" s="7" t="str">
        <x:f>IF(OR(ISBLANK('Исходные данные'!C12),ISBLANK('Исходные данные'!C41)),"не задано",IF(AND('Исходные данные'!C12&gt;0,'Исходные данные'!C41&gt;0),B9*'Исходные данные'!C12/'Исходные данные'!C41,"ошибка v/t"))</x:f>
        <x:v>не задано</x:v>
      </x:c>
      <x:c r="C10" s="6" t="str">
        <x:v>Н</x:v>
      </x:c>
      <x:c r="D10" s="6" t="str">
        <x:v>m × v / t</x:v>
      </x:c>
      <x:c r="E10" s="6" t="str">
        <x:v>Равномерное ускорение. Массы ленты и вращения не включены</x:v>
      </x:c>
    </x:row>
    <x:row r="11" ht="63" customHeight="1">
      <x:c r="A11" s="6" t="str">
        <x:v>Кинетическая энергия материала</x:v>
      </x:c>
      <x:c r="B11" s="7" t="str">
        <x:f>IF(ISBLANK('Исходные данные'!C12),"не задано",IF('Исходные данные'!C12&gt;0,0.5*B9*'Исходные данные'!C12^2,"ошибка v"))</x:f>
        <x:v>не задано</x:v>
      </x:c>
      <x:c r="C11" s="6" t="str">
        <x:v>Дж</x:v>
      </x:c>
      <x:c r="D11" s="6" t="str">
        <x:v>0,5 × m × v²</x:v>
      </x:c>
      <x:c r="E11" s="6" t="str">
        <x:v>Не энергия всего механизма</x:v>
      </x:c>
    </x:row>
    <x:row r="12" ht="63" customHeight="1">
      <x:c r="A12" s="6" t="str">
        <x:v>Сопротивления качения и барабанов</x:v>
      </x:c>
      <x:c r="B12" s="6" t="str">
        <x:v>не задано</x:v>
      </x:c>
      <x:c r="C12" s="6" t="str">
        <x:v>Н</x:v>
      </x:c>
      <x:c r="D12" s="6" t="str">
        <x:v>По принятой методике</x:v>
      </x:c>
      <x:c r="E12" s="6" t="str">
        <x:v>Тип ленты, ролики, массы и коэффициенты неизвестны</x:v>
      </x:c>
    </x:row>
    <x:row r="13" ht="63" customHeight="1">
      <x:c r="A13" s="6" t="str">
        <x:v>Сопротивление очистителя</x:v>
      </x:c>
      <x:c r="B13" s="6" t="str">
        <x:v>не задано</x:v>
      </x:c>
      <x:c r="C13" s="6" t="str">
        <x:v>Н</x:v>
      </x:c>
      <x:c r="D13" s="6" t="str">
        <x:v>По характеристике узла</x:v>
      </x:c>
      <x:c r="E13" s="6" t="str">
        <x:v>Усилие и конструкция не выбраны</x:v>
      </x:c>
    </x:row>
    <x:row r="14" ht="63" customHeight="1">
      <x:c r="A14" s="6" t="str">
        <x:v>Полное усилие и мощность привода</x:v>
      </x:c>
      <x:c r="B14" s="6" t="str">
        <x:v>не определено</x:v>
      </x:c>
      <x:c r="C14" s="6" t="str">
        <x:v>Н; кВт</x:v>
      </x:c>
      <x:c r="D14" s="6" t="str">
        <x:v>Полный баланс + КПД</x:v>
      </x:c>
      <x:c r="E14" s="6" t="str">
        <x:v>Выбор мотор-редуктора пока не выполнен</x:v>
      </x:c>
    </x:row>
    <x:row r="15" ht="26" customHeight="1">
      <x:c r="A15" s="2"/>
      <x:c r="B15" s="2"/>
      <x:c r="C15" s="2"/>
      <x:c r="D15" s="2"/>
      <x:c r="E15" s="2"/>
    </x:row>
    <x:row r="16" ht="26" customHeight="1">
      <x:c r="A16" s="2"/>
      <x:c r="B16" s="2"/>
      <x:c r="C16" s="2"/>
      <x:c r="D16" s="2"/>
      <x:c r="E16" s="2"/>
    </x:row>
    <x:row r="17" ht="26" customHeight="1">
      <x:c r="A17" s="2"/>
      <x:c r="B17" s="2"/>
      <x:c r="C17" s="2"/>
      <x:c r="D17" s="2"/>
      <x:c r="E17" s="2"/>
    </x:row>
    <x:row r="18" ht="26" customHeight="1">
      <x:c r="A18" s="2"/>
      <x:c r="B18" s="2"/>
      <x:c r="C18" s="2"/>
      <x:c r="D18" s="2"/>
      <x:c r="E18" s="2"/>
    </x:row>
  </x:sheetData>
  <x:pageMargins left="0.7" right="0.7" top="0.75" bottom="0.75" header="0.3" footer="0.3"/>
</x:worksheet>
</file>