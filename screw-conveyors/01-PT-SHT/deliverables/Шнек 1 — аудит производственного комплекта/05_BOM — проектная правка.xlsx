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\Documents\Codex\2026-10-01\x20\outputs\Шнек 1 — аудит производственного комплекта\"/>
    </mc:Choice>
  </mc:AlternateContent>
  <xr:revisionPtr revIDLastSave="0" documentId="13_ncr:1_{BE233E79-C86D-4B53-A440-ACA655563F75}" xr6:coauthVersionLast="47" xr6:coauthVersionMax="47" xr10:uidLastSave="{00000000-0000-0000-0000-000000000000}"/>
  <bookViews>
    <workbookView xWindow="1905" yWindow="1575" windowWidth="21600" windowHeight="14025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6" i="1"/>
  <c r="H7" i="1"/>
  <c r="H8" i="1"/>
  <c r="H9" i="1"/>
  <c r="H10" i="1"/>
  <c r="H11" i="1"/>
  <c r="H13" i="1"/>
  <c r="H14" i="1"/>
  <c r="H15" i="1"/>
  <c r="H18" i="1"/>
  <c r="H17" i="1"/>
  <c r="H19" i="1"/>
  <c r="H21" i="1"/>
  <c r="H22" i="1"/>
  <c r="H24" i="1"/>
  <c r="H25" i="1"/>
  <c r="H29" i="1"/>
  <c r="H28" i="1" s="1"/>
  <c r="H27" i="1" s="1"/>
  <c r="H30" i="1"/>
  <c r="H31" i="1"/>
  <c r="C27" i="1"/>
  <c r="C28" i="1"/>
  <c r="H52" i="1"/>
  <c r="H55" i="1" s="1"/>
  <c r="H58" i="1" s="1"/>
  <c r="H51" i="1"/>
  <c r="H54" i="1" s="1"/>
  <c r="H57" i="1" s="1"/>
  <c r="H53" i="1"/>
  <c r="H56" i="1"/>
  <c r="H59" i="1" s="1"/>
  <c r="H50" i="1"/>
</calcChain>
</file>

<file path=xl/sharedStrings.xml><?xml version="1.0" encoding="utf-8"?>
<sst xmlns="http://schemas.openxmlformats.org/spreadsheetml/2006/main" count="190" uniqueCount="131">
  <si>
    <t>ПОЗИЦИЯ</t>
  </si>
  <si>
    <t>ОБОЗНАЧЕНИЕ</t>
  </si>
  <si>
    <t>Материал</t>
  </si>
  <si>
    <t>Заготовка</t>
  </si>
  <si>
    <t>Масса</t>
  </si>
  <si>
    <t>Производство ДСЕ</t>
  </si>
  <si>
    <t>К-ВО</t>
  </si>
  <si>
    <t>1</t>
  </si>
  <si>
    <t>PT.SHT.01.01.00.11  Фланец присоединительный</t>
  </si>
  <si>
    <t>AISI 304</t>
  </si>
  <si>
    <t>2</t>
  </si>
  <si>
    <t>PT.SHT.01.01.02.03  Опора</t>
  </si>
  <si>
    <t>3</t>
  </si>
  <si>
    <t>PT.SHT.01.20.00.01 'Ограничитель верхний'</t>
  </si>
  <si>
    <t>4</t>
  </si>
  <si>
    <t>PT.SHT.01.21.00.00 СБ 'Труба в сборе'</t>
  </si>
  <si>
    <t>5</t>
  </si>
  <si>
    <t>PT.SHT.01.21.00.01 'Кронштейн грузовой'</t>
  </si>
  <si>
    <t>6</t>
  </si>
  <si>
    <t>PT.SHT.01.21.00.03 'Патрубок промывки'</t>
  </si>
  <si>
    <t>7</t>
  </si>
  <si>
    <t>PT.SHT.01.21.00.05 'Патрубок шнека'</t>
  </si>
  <si>
    <t>8</t>
  </si>
  <si>
    <t>PT.SHT.01.21.00.09 'Труба шнека'</t>
  </si>
  <si>
    <t>9</t>
  </si>
  <si>
    <t>PT.SHT.01.21.00.11 'Ухо'</t>
  </si>
  <si>
    <t>10</t>
  </si>
  <si>
    <t>PT.SHT.01.21.00.13 'Фланец трубы шнека'</t>
  </si>
  <si>
    <t>11</t>
  </si>
  <si>
    <t>PT.SHT.01.22.00.00 СБ 'Обойма верхняя'</t>
  </si>
  <si>
    <t>12</t>
  </si>
  <si>
    <t>PT.SHT.01.22.00.01 'Косынка 1'</t>
  </si>
  <si>
    <t>13</t>
  </si>
  <si>
    <t>PT.SHT.01.22.00.03 'Крышка обоймы верхней'</t>
  </si>
  <si>
    <t>14</t>
  </si>
  <si>
    <t>PT.SHT.01.22.00.05 'Обойма'</t>
  </si>
  <si>
    <t>15</t>
  </si>
  <si>
    <t>PT.SHT.01.22.00.07 'Прокладка'</t>
  </si>
  <si>
    <t>EPDM 60 дюрометр</t>
  </si>
  <si>
    <t>16</t>
  </si>
  <si>
    <t>PT.SHT.01.22.00.09 'Проставка обоймы верхней'</t>
  </si>
  <si>
    <t>17</t>
  </si>
  <si>
    <t>PT.SHT.01.22.00.11 'Проставочное кольцо'</t>
  </si>
  <si>
    <t>18</t>
  </si>
  <si>
    <t>PT.SHT.01.22.00.13 'Фланец обоймы'</t>
  </si>
  <si>
    <t>19</t>
  </si>
  <si>
    <t>PT.SHT.01.23.00.00 СБ 'Обойма нижняя'</t>
  </si>
  <si>
    <t>20</t>
  </si>
  <si>
    <t>PT.SHT.01.23.00.01 'Косынка 2'</t>
  </si>
  <si>
    <t>21</t>
  </si>
  <si>
    <t>PT.SHT.01.23.00.05 'Фланец обоймы нижней'</t>
  </si>
  <si>
    <t>22</t>
  </si>
  <si>
    <t>PT.SHT.01.23.10.00 СБ 'Крышка обоймы нижней'</t>
  </si>
  <si>
    <t>23</t>
  </si>
  <si>
    <t>PT.SHT.01.23.10.01 'Крышка'</t>
  </si>
  <si>
    <t>24</t>
  </si>
  <si>
    <t>PT.SHT.01.23.10.03 'Гильза'</t>
  </si>
  <si>
    <t>25</t>
  </si>
  <si>
    <t>PT.SHT.01.24.00.00 СБ 'Шнековый вал'</t>
  </si>
  <si>
    <t>26</t>
  </si>
  <si>
    <t>PT.SHT.01.24.00.01 'Вал шнека верхний'</t>
  </si>
  <si>
    <t>Ст 3 ГОСТ 380-88</t>
  </si>
  <si>
    <t>27</t>
  </si>
  <si>
    <t>PT.SHT.01.24.00.03 'Вал шнека нижний'</t>
  </si>
  <si>
    <t>28</t>
  </si>
  <si>
    <t>PT.SHT.01.24.00.05 'Винт шнека'</t>
  </si>
  <si>
    <t>29</t>
  </si>
  <si>
    <t>PT.SHT.01.24.00.07 'Сердечник'</t>
  </si>
  <si>
    <t>30</t>
  </si>
  <si>
    <t>PT.SHT.01.24.00.09 'Торец шнека'</t>
  </si>
  <si>
    <t>31</t>
  </si>
  <si>
    <t>PT.SHT.01.25.00.00 СБ 'Опора шнековая'</t>
  </si>
  <si>
    <t>32</t>
  </si>
  <si>
    <t>PT.SHT.01.25.00.01 'Балка 1'</t>
  </si>
  <si>
    <t>33</t>
  </si>
  <si>
    <t>PT.SHT.01.25.00.03 'Балка 2'</t>
  </si>
  <si>
    <t>34</t>
  </si>
  <si>
    <t>PT.SHT.01.25.00.05 'Втулка'</t>
  </si>
  <si>
    <t>35</t>
  </si>
  <si>
    <t>PT.SHT.01.25.00.07 'Стойка 1'</t>
  </si>
  <si>
    <t>36</t>
  </si>
  <si>
    <t>PT.SHT.01.25.00.07-01 'Стойка 1'</t>
  </si>
  <si>
    <t>37</t>
  </si>
  <si>
    <t>PT.SHT.01.25.00.09 'Подкос 1'</t>
  </si>
  <si>
    <t>38</t>
  </si>
  <si>
    <t>PT.SHT.01.25.00.09-01 'Подкос 1'</t>
  </si>
  <si>
    <t>39</t>
  </si>
  <si>
    <t>Болт М6х20 DIN 933 А2</t>
  </si>
  <si>
    <t>40</t>
  </si>
  <si>
    <t>Болт М8х25 DIN 933 A2</t>
  </si>
  <si>
    <t>41</t>
  </si>
  <si>
    <t>Винт М12х30 DIN 931 A2</t>
  </si>
  <si>
    <t>42</t>
  </si>
  <si>
    <t>Винт М8х20 DIN 931 A2</t>
  </si>
  <si>
    <t>43</t>
  </si>
  <si>
    <t>Гайка М10 DIN 934</t>
  </si>
  <si>
    <t>44</t>
  </si>
  <si>
    <t>Гайка М6 DIN 934</t>
  </si>
  <si>
    <t>45</t>
  </si>
  <si>
    <t>Гайка М8 DIN 934 А2</t>
  </si>
  <si>
    <t>46</t>
  </si>
  <si>
    <t>Кран шаровый G 1.2</t>
  </si>
  <si>
    <t>47</t>
  </si>
  <si>
    <t>Манжета 2 -50х70-5 ГОСТ 8752-79</t>
  </si>
  <si>
    <t>48</t>
  </si>
  <si>
    <t>Мотор-редуктор NMRV 075(100B5)</t>
  </si>
  <si>
    <t xml:space="preserve"> </t>
  </si>
  <si>
    <t>49</t>
  </si>
  <si>
    <t>Подшипник 7208BEA.step</t>
  </si>
  <si>
    <t>50</t>
  </si>
  <si>
    <t>Болт М10х90 DIN 933</t>
  </si>
  <si>
    <t>51</t>
  </si>
  <si>
    <t>Стопорное кольцо D40 DIN 471 А2</t>
  </si>
  <si>
    <t>52</t>
  </si>
  <si>
    <t>Стопорное кольцо D70 DIN 472 А2</t>
  </si>
  <si>
    <t>53</t>
  </si>
  <si>
    <t>Стопорное кольцо D80 DIN 472 А2</t>
  </si>
  <si>
    <t>54</t>
  </si>
  <si>
    <t>Шайба пружинная М10 DIN128</t>
  </si>
  <si>
    <t>55</t>
  </si>
  <si>
    <t>Шайба пружинная М12 DIN 128 A2</t>
  </si>
  <si>
    <t>56</t>
  </si>
  <si>
    <t>Шайба пружинная М6 DIN128 А2</t>
  </si>
  <si>
    <t>57</t>
  </si>
  <si>
    <t>58</t>
  </si>
  <si>
    <t>Шпонка 8x7x63 ГОСТ 23360-78 DIN 6885</t>
  </si>
  <si>
    <t>Шайба пружинная М8 DIN 127 B А2</t>
  </si>
  <si>
    <t>59</t>
  </si>
  <si>
    <t>PT.SHT.01.21.00.07 'Сбрасыватель'</t>
  </si>
  <si>
    <t>bay</t>
  </si>
  <si>
    <t>make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</si>
</sst>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</font>
    <font>
      <i/>
      <sz val="14"/>
      <color theme="1"/>
      <name val="Arial Narrow"/>
    </font>
    <font>
      <i/>
      <sz val="11"/>
      <color theme="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topLeftCell="A43" workbookViewId="0">
      <selection activeCell="H1" sqref="H1"/>
    </sheetView>
  </sheetViews>
  <sheetFormatPr defaultRowHeight="15" x14ac:dyDescent="0.25"/>
  <cols>
    <col min="1" max="1" width="13.140625" style="1" customWidth="1"/>
    <col min="2" max="2" width="56.5703125" customWidth="1"/>
    <col min="3" max="3" width="24.140625" customWidth="1"/>
    <col min="4" max="4" width="14" customWidth="1"/>
    <col min="5" max="5" width="8.85546875" customWidth="1"/>
    <col min="6" max="6" width="23.28515625" customWidth="1"/>
    <col min="7" max="7" width="7.28515625" customWidth="1"/>
  </cols>
  <sheetData>
    <row r="1" spans="1:8" ht="18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8" ht="18" x14ac:dyDescent="0.25">
      <c r="A2" s="2" t="s">
        <v>7</v>
      </c>
      <c r="B2" s="3" t="s">
        <v>8</v>
      </c>
      <c r="C2" s="3" t="s">
        <v>9</v>
      </c>
      <c r="D2" s="3"/>
      <c r="E2" s="3">
        <v>0.4</v>
      </c>
      <c r="F2" s="3"/>
      <c r="G2" s="3">
        <v>1</v>
      </c>
      <c r="H2" t="str">
        <f>H3</f>
        <v>make</v>
      </c>
    </row>
    <row r="3" spans="1:8" ht="18" x14ac:dyDescent="0.25">
      <c r="A3" s="2" t="s">
        <v>10</v>
      </c>
      <c r="B3" s="3" t="s">
        <v>11</v>
      </c>
      <c r="C3" s="3" t="s">
        <v>9</v>
      </c>
      <c r="D3" s="3"/>
      <c r="E3" s="3">
        <v>0.15</v>
      </c>
      <c r="F3" s="3"/>
      <c r="G3" s="3">
        <v>2</v>
      </c>
      <c r="H3" t="str">
        <f>H4</f>
        <v>make</v>
      </c>
    </row>
    <row r="4" spans="1:8" ht="18" x14ac:dyDescent="0.25">
      <c r="A4" s="2" t="s">
        <v>12</v>
      </c>
      <c r="B4" s="3" t="s">
        <v>13</v>
      </c>
      <c r="C4" s="3" t="s">
        <v>9</v>
      </c>
      <c r="D4" s="3"/>
      <c r="E4" s="3">
        <v>7.0000000000000007E-2</v>
      </c>
      <c r="F4" s="3"/>
      <c r="G4" s="3">
        <v>1</v>
      </c>
      <c r="H4" t="str">
        <f>H6</f>
        <v>make</v>
      </c>
    </row>
    <row r="5" spans="1:8" ht="18" x14ac:dyDescent="0.25">
      <c r="A5" s="2" t="s">
        <v>14</v>
      </c>
      <c r="B5" s="3" t="s">
        <v>15</v>
      </c>
      <c r="C5" s="3"/>
      <c r="D5" s="3"/>
      <c r="E5" s="3">
        <v>51</v>
      </c>
      <c r="F5" s="3"/>
      <c r="G5" s="3">
        <v>1</v>
      </c>
    </row>
    <row r="6" spans="1:8" ht="18" x14ac:dyDescent="0.25">
      <c r="A6" s="2" t="s">
        <v>16</v>
      </c>
      <c r="B6" s="3" t="s">
        <v>17</v>
      </c>
      <c r="C6" s="3" t="s">
        <v>9</v>
      </c>
      <c r="D6" s="3"/>
      <c r="E6" s="3">
        <v>0.17</v>
      </c>
      <c r="F6" s="3"/>
      <c r="G6" s="3">
        <v>2</v>
      </c>
      <c r="H6" t="str">
        <f>H7</f>
        <v>make</v>
      </c>
    </row>
    <row r="7" spans="1:8" ht="18" x14ac:dyDescent="0.25">
      <c r="A7" s="2" t="s">
        <v>18</v>
      </c>
      <c r="B7" s="3" t="s">
        <v>19</v>
      </c>
      <c r="C7" s="3" t="s">
        <v>9</v>
      </c>
      <c r="D7" s="3"/>
      <c r="E7" s="3">
        <v>7.0000000000000007E-2</v>
      </c>
      <c r="F7" s="3"/>
      <c r="G7" s="3">
        <v>2</v>
      </c>
      <c r="H7" t="str">
        <f>H8</f>
        <v>make</v>
      </c>
    </row>
    <row r="8" spans="1:8" ht="18" x14ac:dyDescent="0.25">
      <c r="A8" s="2" t="s">
        <v>20</v>
      </c>
      <c r="B8" s="3" t="s">
        <v>21</v>
      </c>
      <c r="C8" s="3" t="s">
        <v>9</v>
      </c>
      <c r="D8" s="3"/>
      <c r="E8" s="3">
        <v>1.1200000000000001</v>
      </c>
      <c r="F8" s="3"/>
      <c r="G8" s="3">
        <v>2</v>
      </c>
      <c r="H8" t="str">
        <f>H9</f>
        <v>make</v>
      </c>
    </row>
    <row r="9" spans="1:8" ht="18" x14ac:dyDescent="0.25">
      <c r="A9" s="2" t="s">
        <v>22</v>
      </c>
      <c r="B9" s="3" t="s">
        <v>23</v>
      </c>
      <c r="C9" s="3" t="s">
        <v>9</v>
      </c>
      <c r="D9" s="3"/>
      <c r="E9" s="3">
        <v>46.07</v>
      </c>
      <c r="F9" s="3"/>
      <c r="G9" s="3">
        <v>1</v>
      </c>
      <c r="H9" t="str">
        <f>H10</f>
        <v>make</v>
      </c>
    </row>
    <row r="10" spans="1:8" ht="18" x14ac:dyDescent="0.25">
      <c r="A10" s="2" t="s">
        <v>24</v>
      </c>
      <c r="B10" s="3" t="s">
        <v>25</v>
      </c>
      <c r="C10" s="3" t="s">
        <v>9</v>
      </c>
      <c r="D10" s="3"/>
      <c r="E10" s="3">
        <v>0.04</v>
      </c>
      <c r="F10" s="3"/>
      <c r="G10" s="3">
        <v>4</v>
      </c>
      <c r="H10" t="str">
        <f>H11</f>
        <v>make</v>
      </c>
    </row>
    <row r="11" spans="1:8" ht="18" x14ac:dyDescent="0.25">
      <c r="A11" s="2" t="s">
        <v>26</v>
      </c>
      <c r="B11" s="3" t="s">
        <v>27</v>
      </c>
      <c r="C11" s="3" t="s">
        <v>9</v>
      </c>
      <c r="D11" s="3"/>
      <c r="E11" s="3">
        <v>0.62</v>
      </c>
      <c r="F11" s="3"/>
      <c r="G11" s="3">
        <v>2</v>
      </c>
      <c r="H11" t="str">
        <f>H13</f>
        <v>make</v>
      </c>
    </row>
    <row r="12" spans="1:8" ht="18" x14ac:dyDescent="0.25">
      <c r="A12" s="2" t="s">
        <v>28</v>
      </c>
      <c r="B12" s="3" t="s">
        <v>29</v>
      </c>
      <c r="C12" s="3"/>
      <c r="D12" s="3"/>
      <c r="E12" s="3">
        <v>4.4400000000000004</v>
      </c>
      <c r="F12" s="3"/>
      <c r="G12" s="3">
        <v>1</v>
      </c>
    </row>
    <row r="13" spans="1:8" ht="18" x14ac:dyDescent="0.25">
      <c r="A13" s="2" t="s">
        <v>30</v>
      </c>
      <c r="B13" s="3" t="s">
        <v>31</v>
      </c>
      <c r="C13" s="3" t="s">
        <v>9</v>
      </c>
      <c r="D13" s="3"/>
      <c r="E13" s="3">
        <v>0.05</v>
      </c>
      <c r="F13" s="3"/>
      <c r="G13" s="3">
        <v>8</v>
      </c>
      <c r="H13" t="str">
        <f>H14</f>
        <v>make</v>
      </c>
    </row>
    <row r="14" spans="1:8" ht="18" x14ac:dyDescent="0.25">
      <c r="A14" s="2" t="s">
        <v>32</v>
      </c>
      <c r="B14" s="3" t="s">
        <v>33</v>
      </c>
      <c r="C14" s="3" t="s">
        <v>9</v>
      </c>
      <c r="D14" s="3"/>
      <c r="E14" s="3">
        <v>0.4</v>
      </c>
      <c r="F14" s="3"/>
      <c r="G14" s="3">
        <v>1</v>
      </c>
      <c r="H14" t="str">
        <f>H15</f>
        <v>make</v>
      </c>
    </row>
    <row r="15" spans="1:8" ht="18" x14ac:dyDescent="0.25">
      <c r="A15" s="2" t="s">
        <v>34</v>
      </c>
      <c r="B15" s="3" t="s">
        <v>35</v>
      </c>
      <c r="C15" s="3" t="s">
        <v>9</v>
      </c>
      <c r="D15" s="3"/>
      <c r="E15" s="3">
        <v>1.94</v>
      </c>
      <c r="F15" s="3"/>
      <c r="G15" s="3">
        <v>2</v>
      </c>
      <c r="H15" t="str">
        <f>H17</f>
        <v>make</v>
      </c>
    </row>
    <row r="16" spans="1:8" ht="18" x14ac:dyDescent="0.25">
      <c r="A16" s="2" t="s">
        <v>36</v>
      </c>
      <c r="B16" s="3" t="s">
        <v>37</v>
      </c>
      <c r="C16" s="3" t="s">
        <v>38</v>
      </c>
      <c r="D16" s="3"/>
      <c r="E16" s="3">
        <v>0.04</v>
      </c>
      <c r="F16" s="3"/>
      <c r="G16" s="3">
        <v>2</v>
      </c>
    </row>
    <row r="17" spans="1:8" ht="18" x14ac:dyDescent="0.25">
      <c r="A17" s="2" t="s">
        <v>39</v>
      </c>
      <c r="B17" s="3" t="s">
        <v>40</v>
      </c>
      <c r="C17" s="3" t="s">
        <v>9</v>
      </c>
      <c r="D17" s="3"/>
      <c r="E17" s="3">
        <v>0.11</v>
      </c>
      <c r="F17" s="3"/>
      <c r="G17" s="3">
        <v>1</v>
      </c>
      <c r="H17" t="str">
        <f t="shared" ref="H17:H18" si="0">H19</f>
        <v>make</v>
      </c>
    </row>
    <row r="18" spans="1:8" ht="18" x14ac:dyDescent="0.25">
      <c r="A18" s="2" t="s">
        <v>41</v>
      </c>
      <c r="B18" s="3" t="s">
        <v>42</v>
      </c>
      <c r="C18" s="3" t="s">
        <v>9</v>
      </c>
      <c r="D18" s="3"/>
      <c r="E18" s="3">
        <v>0.03</v>
      </c>
      <c r="F18" s="3"/>
      <c r="G18" s="3">
        <v>2</v>
      </c>
      <c r="H18" t="str">
        <f>H19</f>
        <v>make</v>
      </c>
    </row>
    <row r="19" spans="1:8" ht="18" x14ac:dyDescent="0.25">
      <c r="A19" s="2" t="s">
        <v>43</v>
      </c>
      <c r="B19" s="3" t="s">
        <v>44</v>
      </c>
      <c r="C19" s="3" t="s">
        <v>9</v>
      </c>
      <c r="D19" s="3"/>
      <c r="E19" s="3">
        <v>0.76</v>
      </c>
      <c r="F19" s="3"/>
      <c r="G19" s="3">
        <v>2</v>
      </c>
      <c r="H19" t="str">
        <f>H21</f>
        <v>make</v>
      </c>
    </row>
    <row r="20" spans="1:8" ht="18" x14ac:dyDescent="0.25">
      <c r="A20" s="2" t="s">
        <v>45</v>
      </c>
      <c r="B20" s="3" t="s">
        <v>46</v>
      </c>
      <c r="C20" s="3"/>
      <c r="D20" s="3"/>
      <c r="E20" s="3">
        <v>4.92</v>
      </c>
      <c r="F20" s="3"/>
      <c r="G20" s="3">
        <v>1</v>
      </c>
    </row>
    <row r="21" spans="1:8" ht="18" x14ac:dyDescent="0.25">
      <c r="A21" s="2" t="s">
        <v>47</v>
      </c>
      <c r="B21" s="3" t="s">
        <v>48</v>
      </c>
      <c r="C21" s="3" t="s">
        <v>9</v>
      </c>
      <c r="D21" s="3"/>
      <c r="E21" s="3">
        <v>0.05</v>
      </c>
      <c r="F21" s="3"/>
      <c r="G21" s="3">
        <v>8</v>
      </c>
      <c r="H21" t="str">
        <f>H22</f>
        <v>make</v>
      </c>
    </row>
    <row r="22" spans="1:8" ht="18" x14ac:dyDescent="0.25">
      <c r="A22" s="2" t="s">
        <v>49</v>
      </c>
      <c r="B22" s="3" t="s">
        <v>50</v>
      </c>
      <c r="C22" s="3" t="s">
        <v>9</v>
      </c>
      <c r="D22" s="3"/>
      <c r="E22" s="3">
        <v>0.25</v>
      </c>
      <c r="F22" s="3"/>
      <c r="G22" s="3">
        <v>1</v>
      </c>
      <c r="H22" t="str">
        <f>H24</f>
        <v>make</v>
      </c>
    </row>
    <row r="23" spans="1:8" ht="18" x14ac:dyDescent="0.25">
      <c r="A23" s="2" t="s">
        <v>51</v>
      </c>
      <c r="B23" s="3" t="s">
        <v>52</v>
      </c>
      <c r="C23" s="3"/>
      <c r="D23" s="3"/>
      <c r="E23" s="3">
        <v>0.68</v>
      </c>
      <c r="F23" s="3"/>
      <c r="G23" s="3">
        <v>1</v>
      </c>
    </row>
    <row r="24" spans="1:8" ht="18" x14ac:dyDescent="0.25">
      <c r="A24" s="2" t="s">
        <v>53</v>
      </c>
      <c r="B24" s="3" t="s">
        <v>54</v>
      </c>
      <c r="C24" s="3" t="s">
        <v>9</v>
      </c>
      <c r="D24" s="3"/>
      <c r="E24" s="3">
        <v>0.48</v>
      </c>
      <c r="F24" s="3"/>
      <c r="G24" s="3">
        <v>1</v>
      </c>
      <c r="H24" t="str">
        <f>H25</f>
        <v>make</v>
      </c>
    </row>
    <row r="25" spans="1:8" ht="18" x14ac:dyDescent="0.25">
      <c r="A25" s="2" t="s">
        <v>55</v>
      </c>
      <c r="B25" s="3" t="s">
        <v>56</v>
      </c>
      <c r="C25" s="3" t="s">
        <v>9</v>
      </c>
      <c r="D25" s="3"/>
      <c r="E25" s="3">
        <v>0.2</v>
      </c>
      <c r="F25" s="3"/>
      <c r="G25" s="3">
        <v>1</v>
      </c>
      <c r="H25" t="str">
        <f>H27</f>
        <v>make</v>
      </c>
    </row>
    <row r="26" spans="1:8" ht="18" x14ac:dyDescent="0.25">
      <c r="A26" s="2" t="s">
        <v>57</v>
      </c>
      <c r="B26" s="3" t="s">
        <v>58</v>
      </c>
      <c r="C26" s="3"/>
      <c r="D26" s="3"/>
      <c r="E26" s="3">
        <v>24.3</v>
      </c>
      <c r="F26" s="3"/>
      <c r="G26" s="3">
        <v>1</v>
      </c>
    </row>
    <row r="27" spans="1:8" ht="18" x14ac:dyDescent="0.25">
      <c r="A27" s="2" t="s">
        <v>59</v>
      </c>
      <c r="B27" s="3" t="s">
        <v>60</v>
      </c>
      <c r="C27" s="3" t="str">
        <f>C28</f>
        <v>AISI 304</v>
      </c>
      <c r="D27" s="3"/>
      <c r="E27" s="3">
        <v>2.39</v>
      </c>
      <c r="F27" s="3"/>
      <c r="G27" s="3">
        <v>1</v>
      </c>
      <c r="H27" t="str">
        <f t="shared" ref="H27:H29" si="1">H28</f>
        <v>make</v>
      </c>
    </row>
    <row r="28" spans="1:8" ht="18" x14ac:dyDescent="0.25">
      <c r="A28" s="2" t="s">
        <v>62</v>
      </c>
      <c r="B28" s="3" t="s">
        <v>63</v>
      </c>
      <c r="C28" s="3" t="str">
        <f>C29</f>
        <v>AISI 304</v>
      </c>
      <c r="D28" s="3"/>
      <c r="E28" s="3">
        <v>1.65</v>
      </c>
      <c r="F28" s="3"/>
      <c r="G28" s="3">
        <v>1</v>
      </c>
      <c r="H28" t="str">
        <f t="shared" si="1"/>
        <v>make</v>
      </c>
    </row>
    <row r="29" spans="1:8" ht="18" x14ac:dyDescent="0.25">
      <c r="A29" s="2" t="s">
        <v>64</v>
      </c>
      <c r="B29" s="3" t="s">
        <v>65</v>
      </c>
      <c r="C29" s="3" t="s">
        <v>9</v>
      </c>
      <c r="D29" s="3"/>
      <c r="E29" s="3">
        <v>12.66</v>
      </c>
      <c r="F29" s="3"/>
      <c r="G29" s="3">
        <v>1</v>
      </c>
      <c r="H29" t="str">
        <f t="shared" si="1"/>
        <v>make</v>
      </c>
    </row>
    <row r="30" spans="1:8" ht="18" x14ac:dyDescent="0.25">
      <c r="A30" s="2" t="s">
        <v>66</v>
      </c>
      <c r="B30" s="3" t="s">
        <v>67</v>
      </c>
      <c r="C30" s="3" t="s">
        <v>9</v>
      </c>
      <c r="D30" s="3"/>
      <c r="E30" s="3">
        <v>6.82</v>
      </c>
      <c r="F30" s="3"/>
      <c r="G30" s="3">
        <v>1</v>
      </c>
      <c r="H30" t="str">
        <f>H31</f>
        <v>make</v>
      </c>
    </row>
    <row r="31" spans="1:8" ht="18" x14ac:dyDescent="0.25">
      <c r="A31" s="2" t="s">
        <v>68</v>
      </c>
      <c r="B31" s="3" t="s">
        <v>69</v>
      </c>
      <c r="C31" s="3" t="s">
        <v>9</v>
      </c>
      <c r="D31" s="3"/>
      <c r="E31" s="3">
        <v>0.39</v>
      </c>
      <c r="F31" s="3"/>
      <c r="G31" s="3">
        <v>2</v>
      </c>
      <c r="H31" t="str">
        <f>H33</f>
        <v>make</v>
      </c>
    </row>
    <row r="32" spans="1:8" ht="18" x14ac:dyDescent="0.25">
      <c r="A32" s="2" t="s">
        <v>70</v>
      </c>
      <c r="B32" s="3" t="s">
        <v>71</v>
      </c>
      <c r="C32" s="3"/>
      <c r="D32" s="3"/>
      <c r="E32" s="3">
        <v>10.08</v>
      </c>
      <c r="F32" s="3"/>
      <c r="G32" s="3">
        <v>1</v>
      </c>
    </row>
    <row r="33" spans="1:8" ht="18" x14ac:dyDescent="0.25">
      <c r="A33" s="2" t="s">
        <v>72</v>
      </c>
      <c r="B33" s="3" t="s">
        <v>73</v>
      </c>
      <c r="C33" s="3" t="s">
        <v>61</v>
      </c>
      <c r="D33" s="3"/>
      <c r="E33" s="3">
        <v>0.56999999999999995</v>
      </c>
      <c r="F33" s="3"/>
      <c r="G33" s="3">
        <v>1</v>
      </c>
      <c r="H33" t="s">
        <v>130</v>
      </c>
    </row>
    <row r="34" spans="1:8" ht="18" x14ac:dyDescent="0.25">
      <c r="A34" s="2" t="s">
        <v>74</v>
      </c>
      <c r="B34" s="3" t="s">
        <v>75</v>
      </c>
      <c r="C34" s="3" t="s">
        <v>61</v>
      </c>
      <c r="D34" s="3"/>
      <c r="E34" s="3">
        <v>1.1599999999999999</v>
      </c>
      <c r="F34" s="3"/>
      <c r="G34" s="3">
        <v>1</v>
      </c>
      <c r="H34" t="s">
        <v>130</v>
      </c>
    </row>
    <row r="35" spans="1:8" ht="18" x14ac:dyDescent="0.25">
      <c r="A35" s="2" t="s">
        <v>76</v>
      </c>
      <c r="B35" s="3" t="s">
        <v>77</v>
      </c>
      <c r="C35" s="3" t="s">
        <v>61</v>
      </c>
      <c r="D35" s="3"/>
      <c r="E35" s="3">
        <v>7.0000000000000007E-2</v>
      </c>
      <c r="F35" s="3"/>
      <c r="G35" s="3">
        <v>2</v>
      </c>
      <c r="H35" t="s">
        <v>130</v>
      </c>
    </row>
    <row r="36" spans="1:8" ht="18" x14ac:dyDescent="0.25">
      <c r="A36" s="2" t="s">
        <v>78</v>
      </c>
      <c r="B36" s="3" t="s">
        <v>79</v>
      </c>
      <c r="C36" s="3" t="s">
        <v>61</v>
      </c>
      <c r="D36" s="3"/>
      <c r="E36" s="3">
        <v>2.84</v>
      </c>
      <c r="F36" s="3"/>
      <c r="G36" s="3">
        <v>1</v>
      </c>
      <c r="H36" t="s">
        <v>130</v>
      </c>
    </row>
    <row r="37" spans="1:8" ht="18" x14ac:dyDescent="0.25">
      <c r="A37" s="2" t="s">
        <v>80</v>
      </c>
      <c r="B37" s="3" t="s">
        <v>81</v>
      </c>
      <c r="C37" s="3" t="s">
        <v>61</v>
      </c>
      <c r="D37" s="3"/>
      <c r="E37" s="3">
        <v>2.84</v>
      </c>
      <c r="F37" s="3"/>
      <c r="G37" s="3">
        <v>1</v>
      </c>
      <c r="H37" t="s">
        <v>130</v>
      </c>
    </row>
    <row r="38" spans="1:8" ht="18" x14ac:dyDescent="0.25">
      <c r="A38" s="2" t="s">
        <v>82</v>
      </c>
      <c r="B38" s="3" t="s">
        <v>83</v>
      </c>
      <c r="C38" s="3" t="s">
        <v>61</v>
      </c>
      <c r="D38" s="3"/>
      <c r="E38" s="3">
        <v>1.1200000000000001</v>
      </c>
      <c r="F38" s="3"/>
      <c r="G38" s="3">
        <v>1</v>
      </c>
      <c r="H38" t="s">
        <v>130</v>
      </c>
    </row>
    <row r="39" spans="1:8" ht="18" x14ac:dyDescent="0.25">
      <c r="A39" s="2" t="s">
        <v>84</v>
      </c>
      <c r="B39" s="3" t="s">
        <v>85</v>
      </c>
      <c r="C39" s="3" t="s">
        <v>61</v>
      </c>
      <c r="D39" s="3"/>
      <c r="E39" s="3">
        <v>1.1200000000000001</v>
      </c>
      <c r="F39" s="3"/>
      <c r="G39" s="3">
        <v>1</v>
      </c>
      <c r="H39" t="s">
        <v>130</v>
      </c>
    </row>
    <row r="40" spans="1:8" ht="18" x14ac:dyDescent="0.25">
      <c r="A40" s="2" t="s">
        <v>86</v>
      </c>
      <c r="B40" s="3" t="s">
        <v>87</v>
      </c>
      <c r="C40" s="3" t="s">
        <v>9</v>
      </c>
      <c r="D40" s="3"/>
      <c r="E40" s="3">
        <v>0.01</v>
      </c>
      <c r="F40" s="3"/>
      <c r="G40" s="3">
        <v>8</v>
      </c>
      <c r="H40" t="s">
        <v>129</v>
      </c>
    </row>
    <row r="41" spans="1:8" ht="18" x14ac:dyDescent="0.25">
      <c r="A41" s="2" t="s">
        <v>88</v>
      </c>
      <c r="B41" s="3" t="s">
        <v>89</v>
      </c>
      <c r="C41" s="3" t="s">
        <v>9</v>
      </c>
      <c r="D41" s="3"/>
      <c r="E41" s="3">
        <v>0.02</v>
      </c>
      <c r="F41" s="3"/>
      <c r="G41" s="3">
        <v>16</v>
      </c>
      <c r="H41" t="s">
        <v>129</v>
      </c>
    </row>
    <row r="42" spans="1:8" ht="18" x14ac:dyDescent="0.25">
      <c r="A42" s="2" t="s">
        <v>90</v>
      </c>
      <c r="B42" s="3" t="s">
        <v>91</v>
      </c>
      <c r="C42" s="3" t="s">
        <v>9</v>
      </c>
      <c r="D42" s="3"/>
      <c r="E42" s="3">
        <v>0.04</v>
      </c>
      <c r="F42" s="3"/>
      <c r="G42" s="3">
        <v>1</v>
      </c>
      <c r="H42" t="s">
        <v>129</v>
      </c>
    </row>
    <row r="43" spans="1:8" ht="18" x14ac:dyDescent="0.25">
      <c r="A43" s="2" t="s">
        <v>92</v>
      </c>
      <c r="B43" s="3" t="s">
        <v>93</v>
      </c>
      <c r="C43" s="3" t="s">
        <v>9</v>
      </c>
      <c r="D43" s="3"/>
      <c r="E43" s="3">
        <v>0.01</v>
      </c>
      <c r="F43" s="3"/>
      <c r="G43" s="3">
        <v>8</v>
      </c>
      <c r="H43" t="s">
        <v>129</v>
      </c>
    </row>
    <row r="44" spans="1:8" ht="18" x14ac:dyDescent="0.25">
      <c r="A44" s="2" t="s">
        <v>94</v>
      </c>
      <c r="B44" s="3" t="s">
        <v>95</v>
      </c>
      <c r="C44" s="3" t="s">
        <v>9</v>
      </c>
      <c r="D44" s="3"/>
      <c r="E44" s="3">
        <v>0.01</v>
      </c>
      <c r="F44" s="3"/>
      <c r="G44" s="3">
        <v>2</v>
      </c>
      <c r="H44" t="s">
        <v>129</v>
      </c>
    </row>
    <row r="45" spans="1:8" ht="18" x14ac:dyDescent="0.25">
      <c r="A45" s="2" t="s">
        <v>96</v>
      </c>
      <c r="B45" s="3" t="s">
        <v>97</v>
      </c>
      <c r="C45" s="3" t="s">
        <v>9</v>
      </c>
      <c r="D45" s="3"/>
      <c r="E45" s="3">
        <v>0</v>
      </c>
      <c r="F45" s="3"/>
      <c r="G45" s="3">
        <v>8</v>
      </c>
      <c r="H45" t="s">
        <v>129</v>
      </c>
    </row>
    <row r="46" spans="1:8" ht="18" x14ac:dyDescent="0.25">
      <c r="A46" s="2" t="s">
        <v>98</v>
      </c>
      <c r="B46" s="3" t="s">
        <v>99</v>
      </c>
      <c r="C46" s="3" t="s">
        <v>9</v>
      </c>
      <c r="D46" s="3"/>
      <c r="E46" s="3">
        <v>0.01</v>
      </c>
      <c r="F46" s="3"/>
      <c r="G46" s="3">
        <v>16</v>
      </c>
      <c r="H46" t="s">
        <v>129</v>
      </c>
    </row>
    <row r="47" spans="1:8" ht="18" x14ac:dyDescent="0.25">
      <c r="A47" s="2" t="s">
        <v>100</v>
      </c>
      <c r="B47" s="3" t="s">
        <v>101</v>
      </c>
      <c r="C47" s="3"/>
      <c r="D47" s="3"/>
      <c r="E47" s="3">
        <v>0.2</v>
      </c>
      <c r="F47" s="3"/>
      <c r="G47" s="3">
        <v>2</v>
      </c>
      <c r="H47" t="s">
        <v>129</v>
      </c>
    </row>
    <row r="48" spans="1:8" ht="18" x14ac:dyDescent="0.25">
      <c r="A48" s="2" t="s">
        <v>102</v>
      </c>
      <c r="B48" s="3" t="s">
        <v>103</v>
      </c>
      <c r="C48" s="3" t="s">
        <v>38</v>
      </c>
      <c r="D48" s="3"/>
      <c r="E48" s="3">
        <v>0.02</v>
      </c>
      <c r="F48" s="3"/>
      <c r="G48" s="3">
        <v>2</v>
      </c>
    </row>
    <row r="49" spans="1:8" ht="18" x14ac:dyDescent="0.25">
      <c r="A49" s="2" t="s">
        <v>104</v>
      </c>
      <c r="B49" s="3" t="s">
        <v>105</v>
      </c>
      <c r="C49" s="3" t="s">
        <v>106</v>
      </c>
      <c r="D49" s="3"/>
      <c r="E49" s="3" t="s">
        <v>106</v>
      </c>
      <c r="F49" s="3"/>
      <c r="G49" s="3">
        <v>1</v>
      </c>
    </row>
    <row r="50" spans="1:8" ht="18" x14ac:dyDescent="0.25">
      <c r="A50" s="2" t="s">
        <v>107</v>
      </c>
      <c r="B50" s="3" t="s">
        <v>108</v>
      </c>
      <c r="C50" s="3" t="s">
        <v>106</v>
      </c>
      <c r="D50" s="3"/>
      <c r="E50" s="3">
        <v>0.35</v>
      </c>
      <c r="F50" s="3"/>
      <c r="G50" s="3">
        <v>4</v>
      </c>
      <c r="H50" t="str">
        <f>H47</f>
        <v>bay</v>
      </c>
    </row>
    <row r="51" spans="1:8" ht="18" x14ac:dyDescent="0.25">
      <c r="A51" s="2" t="s">
        <v>109</v>
      </c>
      <c r="B51" s="3" t="s">
        <v>110</v>
      </c>
      <c r="C51" s="3" t="s">
        <v>9</v>
      </c>
      <c r="D51" s="3"/>
      <c r="E51" s="3">
        <v>7.0000000000000007E-2</v>
      </c>
      <c r="F51" s="3"/>
      <c r="G51" s="3">
        <v>2</v>
      </c>
      <c r="H51" t="str">
        <f>H50</f>
        <v>bay</v>
      </c>
    </row>
    <row r="52" spans="1:8" ht="18" x14ac:dyDescent="0.25">
      <c r="A52" s="2" t="s">
        <v>111</v>
      </c>
      <c r="B52" s="3" t="s">
        <v>112</v>
      </c>
      <c r="C52" s="3" t="s">
        <v>9</v>
      </c>
      <c r="D52" s="3"/>
      <c r="E52" s="3">
        <v>0.01</v>
      </c>
      <c r="F52" s="3"/>
      <c r="G52" s="3">
        <v>2</v>
      </c>
      <c r="H52" t="str">
        <f>H51</f>
        <v>bay</v>
      </c>
    </row>
    <row r="53" spans="1:8" ht="18" x14ac:dyDescent="0.25">
      <c r="A53" s="2" t="s">
        <v>113</v>
      </c>
      <c r="B53" s="3" t="s">
        <v>114</v>
      </c>
      <c r="C53" s="3" t="s">
        <v>9</v>
      </c>
      <c r="D53" s="3"/>
      <c r="E53" s="3">
        <v>0.01</v>
      </c>
      <c r="F53" s="3"/>
      <c r="G53" s="3">
        <v>2</v>
      </c>
      <c r="H53" t="str">
        <f t="shared" ref="H51:H59" si="2">H50</f>
        <v>bay</v>
      </c>
    </row>
    <row r="54" spans="1:8" ht="18" x14ac:dyDescent="0.25">
      <c r="A54" s="2" t="s">
        <v>115</v>
      </c>
      <c r="B54" s="3" t="s">
        <v>116</v>
      </c>
      <c r="C54" s="3" t="s">
        <v>9</v>
      </c>
      <c r="D54" s="3"/>
      <c r="E54" s="3">
        <v>0.02</v>
      </c>
      <c r="F54" s="3"/>
      <c r="G54" s="3">
        <v>2</v>
      </c>
      <c r="H54" t="str">
        <f t="shared" si="2"/>
        <v>bay</v>
      </c>
    </row>
    <row r="55" spans="1:8" ht="18" x14ac:dyDescent="0.25">
      <c r="A55" s="2" t="s">
        <v>117</v>
      </c>
      <c r="B55" s="3" t="s">
        <v>118</v>
      </c>
      <c r="C55" s="3" t="s">
        <v>9</v>
      </c>
      <c r="D55" s="3"/>
      <c r="E55" s="3">
        <v>0</v>
      </c>
      <c r="F55" s="3"/>
      <c r="G55" s="3">
        <v>4</v>
      </c>
      <c r="H55" t="str">
        <f t="shared" si="2"/>
        <v>bay</v>
      </c>
    </row>
    <row r="56" spans="1:8" ht="18" x14ac:dyDescent="0.25">
      <c r="A56" s="2" t="s">
        <v>119</v>
      </c>
      <c r="B56" s="3" t="s">
        <v>120</v>
      </c>
      <c r="C56" s="3" t="s">
        <v>9</v>
      </c>
      <c r="D56" s="3"/>
      <c r="E56" s="3">
        <v>0.01</v>
      </c>
      <c r="F56" s="3"/>
      <c r="G56" s="3">
        <v>1</v>
      </c>
      <c r="H56" t="str">
        <f t="shared" si="2"/>
        <v>bay</v>
      </c>
    </row>
    <row r="57" spans="1:8" ht="18" x14ac:dyDescent="0.25">
      <c r="A57" s="2" t="s">
        <v>121</v>
      </c>
      <c r="B57" s="3" t="s">
        <v>122</v>
      </c>
      <c r="C57" s="3" t="s">
        <v>9</v>
      </c>
      <c r="D57" s="3"/>
      <c r="E57" s="3">
        <v>0</v>
      </c>
      <c r="F57" s="3"/>
      <c r="G57" s="3">
        <v>16</v>
      </c>
      <c r="H57" t="str">
        <f t="shared" si="2"/>
        <v>bay</v>
      </c>
    </row>
    <row r="58" spans="1:8" ht="18" x14ac:dyDescent="0.25">
      <c r="A58" s="2" t="s">
        <v>123</v>
      </c>
      <c r="B58" s="3" t="s">
        <v>126</v>
      </c>
      <c r="C58" s="3" t="s">
        <v>9</v>
      </c>
      <c r="D58" s="3"/>
      <c r="E58" s="3">
        <v>0</v>
      </c>
      <c r="F58" s="3"/>
      <c r="G58" s="3">
        <v>40</v>
      </c>
      <c r="H58" t="str">
        <f t="shared" si="2"/>
        <v>bay</v>
      </c>
    </row>
    <row r="59" spans="1:8" ht="18" x14ac:dyDescent="0.25">
      <c r="A59" s="2" t="s">
        <v>124</v>
      </c>
      <c r="B59" s="3" t="s">
        <v>125</v>
      </c>
      <c r="C59" s="3" t="s">
        <v>9</v>
      </c>
      <c r="D59" s="3"/>
      <c r="E59" s="3">
        <v>0.03</v>
      </c>
      <c r="F59" s="3"/>
      <c r="G59" s="3">
        <v>1</v>
      </c>
      <c r="H59" t="str">
        <f t="shared" si="2"/>
        <v>bay</v>
      </c>
    </row>
    <row r="60" spans="1:8" x14ac:dyDescent="0.25">
      <c r="A60" s="4" t="s">
        <v>127</v>
      </c>
      <c r="B60" s="4" t="s">
        <v>128</v>
      </c>
      <c r="C60" s="4"/>
      <c r="D60" s="4"/>
      <c r="E60" s="4"/>
      <c r="F60" s="4"/>
      <c r="G60" s="4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</cp:lastModifiedBy>
  <dcterms:modified xsi:type="dcterms:W3CDTF">2026-10-02T12:49:20Z</dcterms:modified>
</cp:coreProperties>
</file>